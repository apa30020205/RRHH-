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alisa Vaccaro\Downloads\"/>
    </mc:Choice>
  </mc:AlternateContent>
  <xr:revisionPtr revIDLastSave="0" documentId="13_ncr:1_{1D8AD224-1420-400C-9ED0-30975EE515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ualizado 07.11.2025" sheetId="3" r:id="rId1"/>
  </sheets>
  <definedNames>
    <definedName name="_xlnm._FilterDatabase" localSheetId="0" hidden="1">'Actualizado 07.11.2025'!$B$1:$M$196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3" l="1"/>
  <c r="I46" i="3" s="1"/>
  <c r="H63" i="3" l="1"/>
  <c r="H163" i="3"/>
  <c r="H79" i="3" l="1"/>
  <c r="I79" i="3" s="1"/>
  <c r="H28" i="3" l="1"/>
  <c r="I28" i="3" s="1"/>
  <c r="H183" i="3" l="1"/>
  <c r="H115" i="3"/>
  <c r="I115" i="3" s="1"/>
  <c r="H116" i="3"/>
  <c r="I116" i="3" s="1"/>
  <c r="H195" i="3"/>
  <c r="I195" i="3" s="1"/>
  <c r="H196" i="3"/>
  <c r="I196" i="3" s="1"/>
  <c r="H192" i="3"/>
  <c r="I192" i="3" s="1"/>
  <c r="H190" i="3"/>
  <c r="I63" i="3"/>
  <c r="H45" i="3" l="1"/>
  <c r="I45" i="3" s="1"/>
  <c r="H158" i="3"/>
  <c r="H20" i="3"/>
  <c r="I20" i="3" s="1"/>
  <c r="H167" i="3"/>
  <c r="H134" i="3"/>
  <c r="I134" i="3" s="1"/>
  <c r="H96" i="3"/>
  <c r="I96" i="3" s="1"/>
  <c r="H23" i="3"/>
  <c r="I23" i="3" s="1"/>
  <c r="H98" i="3"/>
  <c r="I98" i="3" s="1"/>
  <c r="H103" i="3"/>
  <c r="I103" i="3" s="1"/>
  <c r="H187" i="3"/>
  <c r="H157" i="3"/>
  <c r="I157" i="3" s="1"/>
  <c r="H156" i="3"/>
  <c r="H140" i="3"/>
  <c r="H135" i="3"/>
  <c r="I135" i="3" s="1"/>
  <c r="H61" i="3" l="1"/>
  <c r="I61" i="3" s="1"/>
  <c r="H168" i="3"/>
  <c r="H166" i="3"/>
  <c r="I166" i="3" s="1"/>
  <c r="H6" i="3"/>
  <c r="I6" i="3" s="1"/>
  <c r="H80" i="3"/>
  <c r="I80" i="3" s="1"/>
  <c r="I174" i="3" l="1"/>
  <c r="I183" i="3"/>
  <c r="H144" i="3" l="1"/>
  <c r="I144" i="3" s="1"/>
  <c r="H159" i="3"/>
  <c r="I159" i="3" s="1"/>
  <c r="H154" i="3" l="1"/>
  <c r="I154" i="3" s="1"/>
  <c r="H138" i="3"/>
  <c r="I138" i="3" s="1"/>
  <c r="H131" i="3"/>
  <c r="I131" i="3" s="1"/>
  <c r="H114" i="3"/>
  <c r="I114" i="3" s="1"/>
  <c r="H113" i="3"/>
  <c r="I113" i="3" s="1"/>
  <c r="H13" i="3"/>
  <c r="I13" i="3" s="1"/>
  <c r="I168" i="3"/>
  <c r="I156" i="3"/>
  <c r="I158" i="3"/>
  <c r="I177" i="3"/>
  <c r="I163" i="3"/>
  <c r="H2" i="3"/>
  <c r="I2" i="3" s="1"/>
  <c r="H3" i="3"/>
  <c r="I3" i="3" s="1"/>
  <c r="H4" i="3"/>
  <c r="I4" i="3" s="1"/>
  <c r="H5" i="3"/>
  <c r="I5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4" i="3"/>
  <c r="I14" i="3" s="1"/>
  <c r="H15" i="3"/>
  <c r="I15" i="3" s="1"/>
  <c r="H16" i="3"/>
  <c r="I16" i="3" s="1"/>
  <c r="H17" i="3"/>
  <c r="I17" i="3" s="1"/>
  <c r="H18" i="3"/>
  <c r="I18" i="3" s="1"/>
  <c r="H19" i="3"/>
  <c r="I19" i="3" s="1"/>
  <c r="H21" i="3"/>
  <c r="I21" i="3" s="1"/>
  <c r="H22" i="3"/>
  <c r="I22" i="3" s="1"/>
  <c r="H24" i="3"/>
  <c r="I24" i="3" s="1"/>
  <c r="H25" i="3"/>
  <c r="I25" i="3" s="1"/>
  <c r="H26" i="3"/>
  <c r="I26" i="3" s="1"/>
  <c r="H27" i="3"/>
  <c r="I27" i="3" s="1"/>
  <c r="H76" i="3"/>
  <c r="I76" i="3" s="1"/>
  <c r="H29" i="3"/>
  <c r="I29" i="3" s="1"/>
  <c r="H30" i="3"/>
  <c r="I30" i="3" s="1"/>
  <c r="H31" i="3"/>
  <c r="I31" i="3" s="1"/>
  <c r="H32" i="3"/>
  <c r="I32" i="3" s="1"/>
  <c r="H33" i="3"/>
  <c r="I33" i="3" s="1"/>
  <c r="H34" i="3"/>
  <c r="I34" i="3" s="1"/>
  <c r="H35" i="3"/>
  <c r="I35" i="3" s="1"/>
  <c r="H36" i="3"/>
  <c r="I36" i="3" s="1"/>
  <c r="H37" i="3"/>
  <c r="I37" i="3" s="1"/>
  <c r="H38" i="3"/>
  <c r="I38" i="3" s="1"/>
  <c r="H39" i="3"/>
  <c r="I39" i="3" s="1"/>
  <c r="H40" i="3"/>
  <c r="I40" i="3" s="1"/>
  <c r="H41" i="3"/>
  <c r="I41" i="3" s="1"/>
  <c r="H42" i="3"/>
  <c r="I42" i="3" s="1"/>
  <c r="H43" i="3"/>
  <c r="I43" i="3" s="1"/>
  <c r="H44" i="3"/>
  <c r="I44" i="3" s="1"/>
  <c r="I167" i="3"/>
  <c r="H47" i="3"/>
  <c r="I47" i="3" s="1"/>
  <c r="H48" i="3"/>
  <c r="I48" i="3" s="1"/>
  <c r="H49" i="3"/>
  <c r="I49" i="3" s="1"/>
  <c r="H50" i="3"/>
  <c r="I50" i="3" s="1"/>
  <c r="H51" i="3"/>
  <c r="I51" i="3" s="1"/>
  <c r="H52" i="3"/>
  <c r="I52" i="3" s="1"/>
  <c r="H53" i="3"/>
  <c r="I53" i="3" s="1"/>
  <c r="H54" i="3"/>
  <c r="I54" i="3" s="1"/>
  <c r="H55" i="3"/>
  <c r="I55" i="3" s="1"/>
  <c r="H56" i="3"/>
  <c r="I56" i="3" s="1"/>
  <c r="H57" i="3"/>
  <c r="I57" i="3" s="1"/>
  <c r="H58" i="3"/>
  <c r="I58" i="3" s="1"/>
  <c r="H59" i="3"/>
  <c r="I59" i="3" s="1"/>
  <c r="H60" i="3"/>
  <c r="I60" i="3" s="1"/>
  <c r="H62" i="3"/>
  <c r="I62" i="3" s="1"/>
  <c r="H64" i="3"/>
  <c r="I64" i="3" s="1"/>
  <c r="H65" i="3"/>
  <c r="I65" i="3" s="1"/>
  <c r="H66" i="3"/>
  <c r="I66" i="3" s="1"/>
  <c r="H67" i="3"/>
  <c r="I67" i="3" s="1"/>
  <c r="H68" i="3"/>
  <c r="I68" i="3" s="1"/>
  <c r="H69" i="3"/>
  <c r="I69" i="3" s="1"/>
  <c r="H70" i="3"/>
  <c r="I70" i="3" s="1"/>
  <c r="H72" i="3"/>
  <c r="I72" i="3" s="1"/>
  <c r="H73" i="3"/>
  <c r="I73" i="3" s="1"/>
  <c r="H74" i="3"/>
  <c r="I74" i="3" s="1"/>
  <c r="H75" i="3"/>
  <c r="I75" i="3" s="1"/>
  <c r="H77" i="3"/>
  <c r="I77" i="3" s="1"/>
  <c r="H78" i="3"/>
  <c r="I78" i="3" s="1"/>
  <c r="H81" i="3"/>
  <c r="I81" i="3" s="1"/>
  <c r="H82" i="3"/>
  <c r="I82" i="3" s="1"/>
  <c r="H83" i="3"/>
  <c r="I83" i="3" s="1"/>
  <c r="H84" i="3"/>
  <c r="I84" i="3" s="1"/>
  <c r="H85" i="3"/>
  <c r="I85" i="3" s="1"/>
  <c r="H86" i="3"/>
  <c r="I86" i="3" s="1"/>
  <c r="H87" i="3"/>
  <c r="I87" i="3" s="1"/>
  <c r="H88" i="3"/>
  <c r="I88" i="3" s="1"/>
  <c r="H89" i="3"/>
  <c r="I89" i="3" s="1"/>
  <c r="H90" i="3"/>
  <c r="I90" i="3" s="1"/>
  <c r="H91" i="3"/>
  <c r="I91" i="3" s="1"/>
  <c r="H92" i="3"/>
  <c r="I92" i="3" s="1"/>
  <c r="H93" i="3"/>
  <c r="I93" i="3" s="1"/>
  <c r="H94" i="3"/>
  <c r="I94" i="3" s="1"/>
  <c r="H95" i="3"/>
  <c r="I95" i="3" s="1"/>
  <c r="H97" i="3"/>
  <c r="I97" i="3" s="1"/>
  <c r="H99" i="3"/>
  <c r="I99" i="3" s="1"/>
  <c r="H100" i="3"/>
  <c r="I100" i="3" s="1"/>
  <c r="H101" i="3"/>
  <c r="I101" i="3" s="1"/>
  <c r="H102" i="3"/>
  <c r="I102" i="3" s="1"/>
  <c r="H104" i="3"/>
  <c r="I104" i="3" s="1"/>
  <c r="H105" i="3"/>
  <c r="I105" i="3" s="1"/>
  <c r="H106" i="3"/>
  <c r="I106" i="3" s="1"/>
  <c r="H107" i="3"/>
  <c r="I107" i="3" s="1"/>
  <c r="H108" i="3"/>
  <c r="I108" i="3" s="1"/>
  <c r="H109" i="3"/>
  <c r="I109" i="3" s="1"/>
  <c r="H110" i="3"/>
  <c r="I110" i="3" s="1"/>
  <c r="H111" i="3"/>
  <c r="I111" i="3" s="1"/>
  <c r="H112" i="3"/>
  <c r="I112" i="3" s="1"/>
  <c r="H117" i="3"/>
  <c r="I117" i="3" s="1"/>
  <c r="H118" i="3"/>
  <c r="I118" i="3" s="1"/>
  <c r="H119" i="3"/>
  <c r="I119" i="3" s="1"/>
  <c r="H120" i="3"/>
  <c r="I120" i="3" s="1"/>
  <c r="H121" i="3"/>
  <c r="I121" i="3" s="1"/>
  <c r="H122" i="3"/>
  <c r="I122" i="3" s="1"/>
  <c r="H123" i="3"/>
  <c r="I123" i="3" s="1"/>
  <c r="H124" i="3"/>
  <c r="I124" i="3" s="1"/>
  <c r="H125" i="3"/>
  <c r="I125" i="3" s="1"/>
  <c r="H126" i="3"/>
  <c r="I126" i="3" s="1"/>
  <c r="H127" i="3"/>
  <c r="I127" i="3" s="1"/>
  <c r="H128" i="3"/>
  <c r="I128" i="3" s="1"/>
  <c r="H129" i="3"/>
  <c r="I129" i="3" s="1"/>
  <c r="H130" i="3"/>
  <c r="I130" i="3" s="1"/>
  <c r="H132" i="3"/>
  <c r="I132" i="3" s="1"/>
  <c r="H133" i="3"/>
  <c r="I133" i="3" s="1"/>
  <c r="H136" i="3"/>
  <c r="I136" i="3" s="1"/>
  <c r="H137" i="3"/>
  <c r="I137" i="3" s="1"/>
  <c r="H139" i="3"/>
  <c r="I139" i="3" s="1"/>
  <c r="I140" i="3"/>
  <c r="H141" i="3"/>
  <c r="I141" i="3" s="1"/>
  <c r="H142" i="3"/>
  <c r="I142" i="3" s="1"/>
  <c r="H143" i="3"/>
  <c r="I143" i="3" s="1"/>
  <c r="H145" i="3"/>
  <c r="I145" i="3" s="1"/>
  <c r="H146" i="3"/>
  <c r="I146" i="3" s="1"/>
  <c r="H147" i="3"/>
  <c r="I147" i="3" s="1"/>
  <c r="H148" i="3"/>
  <c r="I148" i="3" s="1"/>
  <c r="H149" i="3"/>
  <c r="I149" i="3" s="1"/>
  <c r="H150" i="3"/>
  <c r="I150" i="3" s="1"/>
  <c r="H151" i="3"/>
  <c r="I151" i="3" s="1"/>
  <c r="H152" i="3"/>
  <c r="I152" i="3" s="1"/>
  <c r="H153" i="3"/>
  <c r="I153" i="3" s="1"/>
  <c r="H155" i="3"/>
  <c r="I155" i="3" s="1"/>
  <c r="H160" i="3"/>
  <c r="I160" i="3" s="1"/>
  <c r="H161" i="3"/>
  <c r="I161" i="3" s="1"/>
  <c r="H162" i="3"/>
  <c r="I162" i="3" s="1"/>
  <c r="H164" i="3"/>
  <c r="I164" i="3" s="1"/>
  <c r="H165" i="3"/>
  <c r="I165" i="3" s="1"/>
  <c r="H169" i="3"/>
  <c r="I169" i="3" s="1"/>
  <c r="H170" i="3"/>
  <c r="I170" i="3" s="1"/>
  <c r="H171" i="3"/>
  <c r="I171" i="3" s="1"/>
  <c r="H172" i="3"/>
  <c r="I172" i="3" s="1"/>
  <c r="H173" i="3"/>
  <c r="I173" i="3" s="1"/>
  <c r="H175" i="3"/>
  <c r="I175" i="3" s="1"/>
  <c r="H176" i="3"/>
  <c r="I176" i="3" s="1"/>
  <c r="H178" i="3"/>
  <c r="I178" i="3" s="1"/>
  <c r="H179" i="3"/>
  <c r="I179" i="3" s="1"/>
  <c r="H180" i="3"/>
  <c r="I180" i="3" s="1"/>
  <c r="H181" i="3"/>
  <c r="I181" i="3" s="1"/>
  <c r="H182" i="3"/>
  <c r="I182" i="3" s="1"/>
  <c r="H184" i="3"/>
  <c r="I184" i="3" s="1"/>
  <c r="H185" i="3"/>
  <c r="I185" i="3" s="1"/>
  <c r="H186" i="3"/>
  <c r="I186" i="3" s="1"/>
  <c r="I187" i="3"/>
  <c r="H188" i="3"/>
  <c r="I188" i="3" s="1"/>
  <c r="H189" i="3"/>
  <c r="I189" i="3" s="1"/>
  <c r="H191" i="3"/>
  <c r="I191" i="3" s="1"/>
  <c r="H193" i="3"/>
  <c r="I193" i="3" s="1"/>
  <c r="H194" i="3"/>
  <c r="I194" i="3" s="1"/>
  <c r="I190" i="3"/>
</calcChain>
</file>

<file path=xl/sharedStrings.xml><?xml version="1.0" encoding="utf-8"?>
<sst xmlns="http://schemas.openxmlformats.org/spreadsheetml/2006/main" count="1179" uniqueCount="716">
  <si>
    <t>8-755-2487</t>
  </si>
  <si>
    <t>8-321-191</t>
  </si>
  <si>
    <t>8-846-1819</t>
  </si>
  <si>
    <t>PE-9-537</t>
  </si>
  <si>
    <t>8-827-487</t>
  </si>
  <si>
    <t>8-226-1219</t>
  </si>
  <si>
    <t>8-992-597</t>
  </si>
  <si>
    <t>8-453-0358</t>
  </si>
  <si>
    <t>8-512-274</t>
  </si>
  <si>
    <t>7-703-2180</t>
  </si>
  <si>
    <t>8-428-912</t>
  </si>
  <si>
    <t>9-123-42</t>
  </si>
  <si>
    <t>4-744-1780</t>
  </si>
  <si>
    <t>3-729-1287</t>
  </si>
  <si>
    <t>9-723-581</t>
  </si>
  <si>
    <t>9-722-532</t>
  </si>
  <si>
    <t>8-434-998</t>
  </si>
  <si>
    <t>7-72-1249</t>
  </si>
  <si>
    <t>8-852-2066</t>
  </si>
  <si>
    <t>3-717-555</t>
  </si>
  <si>
    <t>8-776-209</t>
  </si>
  <si>
    <t>6-703-1310</t>
  </si>
  <si>
    <t>8-424-426</t>
  </si>
  <si>
    <t>4-234-365</t>
  </si>
  <si>
    <t>8-334-169</t>
  </si>
  <si>
    <t>9-130-1</t>
  </si>
  <si>
    <t>7-701-2133</t>
  </si>
  <si>
    <t>8-516-352</t>
  </si>
  <si>
    <t>4-743-1072</t>
  </si>
  <si>
    <t>8-1026-2207</t>
  </si>
  <si>
    <t>9-748-1262</t>
  </si>
  <si>
    <t>3-732-2170</t>
  </si>
  <si>
    <t>8-793-945</t>
  </si>
  <si>
    <t>8-846-1181</t>
  </si>
  <si>
    <t>4-137-1569</t>
  </si>
  <si>
    <t>8-288-13</t>
  </si>
  <si>
    <t>4-775-347</t>
  </si>
  <si>
    <t>8-871-2250</t>
  </si>
  <si>
    <t>8-219-2437</t>
  </si>
  <si>
    <t>2-701-1432</t>
  </si>
  <si>
    <t>4-729-1859</t>
  </si>
  <si>
    <t>2-746-828</t>
  </si>
  <si>
    <t>8-758-116</t>
  </si>
  <si>
    <t>8-411-612</t>
  </si>
  <si>
    <t>8-163-197</t>
  </si>
  <si>
    <t>2-111-509</t>
  </si>
  <si>
    <t>8-901-1419</t>
  </si>
  <si>
    <t>6-703-1427</t>
  </si>
  <si>
    <t>8-795-1066</t>
  </si>
  <si>
    <t>8-709-391</t>
  </si>
  <si>
    <t>8-707-1116</t>
  </si>
  <si>
    <t>7-710-1924</t>
  </si>
  <si>
    <t>8-804-1860</t>
  </si>
  <si>
    <t>8-861-1237</t>
  </si>
  <si>
    <t>8-343-404</t>
  </si>
  <si>
    <t>8-775-2065</t>
  </si>
  <si>
    <t>10-700-994</t>
  </si>
  <si>
    <t>8-934-311</t>
  </si>
  <si>
    <t>8-854-69</t>
  </si>
  <si>
    <t>8-330-914</t>
  </si>
  <si>
    <t>6-707-556</t>
  </si>
  <si>
    <t>8-776-1610</t>
  </si>
  <si>
    <t>8-415-95</t>
  </si>
  <si>
    <t>8-756-1253</t>
  </si>
  <si>
    <t>8-779-1092</t>
  </si>
  <si>
    <t>PE-12-1588</t>
  </si>
  <si>
    <t>4-195-105</t>
  </si>
  <si>
    <t>8-912-1975</t>
  </si>
  <si>
    <t>6-86-331</t>
  </si>
  <si>
    <t>8-313-826</t>
  </si>
  <si>
    <t>8-901-44</t>
  </si>
  <si>
    <t>8-502-365</t>
  </si>
  <si>
    <t>4-759-2365</t>
  </si>
  <si>
    <t>8-759-2056</t>
  </si>
  <si>
    <t>8-361-449</t>
  </si>
  <si>
    <t>4-251-123</t>
  </si>
  <si>
    <t>6-700-1113</t>
  </si>
  <si>
    <t>10-707-2043</t>
  </si>
  <si>
    <t>1-43-628</t>
  </si>
  <si>
    <t>8-947-2264</t>
  </si>
  <si>
    <t>9-704-876</t>
  </si>
  <si>
    <t>8-855-956</t>
  </si>
  <si>
    <t>8-807-1533</t>
  </si>
  <si>
    <t>8-955-1924</t>
  </si>
  <si>
    <t>7-709-1099</t>
  </si>
  <si>
    <t>6-86-576</t>
  </si>
  <si>
    <t>2-721-1375</t>
  </si>
  <si>
    <t>4-725-1342</t>
  </si>
  <si>
    <t>8-1013-1330</t>
  </si>
  <si>
    <t>8-513-1259</t>
  </si>
  <si>
    <t>3-90-1653</t>
  </si>
  <si>
    <t>8-269-433</t>
  </si>
  <si>
    <t>8-762-554</t>
  </si>
  <si>
    <t>4-138-882</t>
  </si>
  <si>
    <t>8-929-553</t>
  </si>
  <si>
    <t>2-709-901</t>
  </si>
  <si>
    <t>4-761-1486</t>
  </si>
  <si>
    <t>8-711-470</t>
  </si>
  <si>
    <t>8-1040-2390</t>
  </si>
  <si>
    <t>8-368-332</t>
  </si>
  <si>
    <t>4-739-2212</t>
  </si>
  <si>
    <t>8-824-1660</t>
  </si>
  <si>
    <t>2-144-811</t>
  </si>
  <si>
    <t>8-976-1650</t>
  </si>
  <si>
    <t>2-102-1177</t>
  </si>
  <si>
    <t>8-867-1343</t>
  </si>
  <si>
    <t>9-177-493</t>
  </si>
  <si>
    <t>8-307-166</t>
  </si>
  <si>
    <t>8-860-2186</t>
  </si>
  <si>
    <t>8-813-160</t>
  </si>
  <si>
    <t>3-704-1045</t>
  </si>
  <si>
    <t>8-358-84</t>
  </si>
  <si>
    <t>8-737-842</t>
  </si>
  <si>
    <t>6-713-1828</t>
  </si>
  <si>
    <t>PE-9-399</t>
  </si>
  <si>
    <t>6-71-153</t>
  </si>
  <si>
    <t>8-766-1949</t>
  </si>
  <si>
    <t>6-714-1600</t>
  </si>
  <si>
    <t>8-866-2462</t>
  </si>
  <si>
    <t>8-761-840</t>
  </si>
  <si>
    <t>8-908-533</t>
  </si>
  <si>
    <t>8-260-507</t>
  </si>
  <si>
    <t>8-912-513</t>
  </si>
  <si>
    <t>1-38-520</t>
  </si>
  <si>
    <t>8-821-1560</t>
  </si>
  <si>
    <t>6-716-1560</t>
  </si>
  <si>
    <t>8-357-705</t>
  </si>
  <si>
    <t>8-961-464</t>
  </si>
  <si>
    <t>8-253-661</t>
  </si>
  <si>
    <t>8-981-826</t>
  </si>
  <si>
    <t>6-68-748</t>
  </si>
  <si>
    <t>9-755-814</t>
  </si>
  <si>
    <t>8-942-2055</t>
  </si>
  <si>
    <t>8-768-2496</t>
  </si>
  <si>
    <t>5-21-747</t>
  </si>
  <si>
    <t>8-763-1271</t>
  </si>
  <si>
    <t>8-296-800</t>
  </si>
  <si>
    <t>3-736-1939</t>
  </si>
  <si>
    <t>8-428-607</t>
  </si>
  <si>
    <t>8-378-167</t>
  </si>
  <si>
    <t>POSICIÓN</t>
  </si>
  <si>
    <t>CEDULA</t>
  </si>
  <si>
    <t xml:space="preserve">NOMBRE Y APELLIDO </t>
  </si>
  <si>
    <t>POSICIÓN FUNCIONAL</t>
  </si>
  <si>
    <t>FECHA DE INICIO</t>
  </si>
  <si>
    <t>DIRECCIÓN O SEDE</t>
  </si>
  <si>
    <t>No.</t>
  </si>
  <si>
    <t>4-779-1119</t>
  </si>
  <si>
    <t>8-738-294</t>
  </si>
  <si>
    <t>EDAD</t>
  </si>
  <si>
    <t>4-272-576</t>
  </si>
  <si>
    <t>8-785-2103</t>
  </si>
  <si>
    <t>1-734-1628</t>
  </si>
  <si>
    <t>9-748-1188</t>
  </si>
  <si>
    <t>3-730-1929</t>
  </si>
  <si>
    <t>8-810-854</t>
  </si>
  <si>
    <t>8-869-1450</t>
  </si>
  <si>
    <t>4-746-302</t>
  </si>
  <si>
    <t>4-742-245</t>
  </si>
  <si>
    <t>4-817-2147</t>
  </si>
  <si>
    <t xml:space="preserve">Marco Antonio Perez Robinson </t>
  </si>
  <si>
    <t xml:space="preserve">Conductor de Vehiculo </t>
  </si>
  <si>
    <t xml:space="preserve">Agente de Seguridad </t>
  </si>
  <si>
    <t>4-739-1303</t>
  </si>
  <si>
    <t xml:space="preserve">Yamileth Del Carmen Torres Batista </t>
  </si>
  <si>
    <t xml:space="preserve">Secretaria I </t>
  </si>
  <si>
    <t xml:space="preserve">Trabajador Manual </t>
  </si>
  <si>
    <t>4-755-1333</t>
  </si>
  <si>
    <t>4-741-515</t>
  </si>
  <si>
    <t xml:space="preserve">Vanessa Ivette Concepción Miranda </t>
  </si>
  <si>
    <t xml:space="preserve">Contador </t>
  </si>
  <si>
    <t>6-717-1438</t>
  </si>
  <si>
    <t xml:space="preserve">Jorge Luis Monterrey Monterrey </t>
  </si>
  <si>
    <t>Paula Hayans Fernandez</t>
  </si>
  <si>
    <t>Oficinista</t>
  </si>
  <si>
    <t>Gildian del Carmen Barria Quintana</t>
  </si>
  <si>
    <t xml:space="preserve">Cris Angel Hernandez </t>
  </si>
  <si>
    <t xml:space="preserve">Marlen Solis </t>
  </si>
  <si>
    <t xml:space="preserve">Asistente Contable </t>
  </si>
  <si>
    <t xml:space="preserve">Jorge Dominguez </t>
  </si>
  <si>
    <t xml:space="preserve">Analista de Presupuesto </t>
  </si>
  <si>
    <t xml:space="preserve">Jefa de Presupuesto </t>
  </si>
  <si>
    <t>Alexander Alfonso Acosta Jimenez</t>
  </si>
  <si>
    <t>Agente de Seguridad</t>
  </si>
  <si>
    <t xml:space="preserve">Ayudante General </t>
  </si>
  <si>
    <t xml:space="preserve">Eric Ivan Martinez </t>
  </si>
  <si>
    <t xml:space="preserve">Cesar Ricardo Ruiz Salgado </t>
  </si>
  <si>
    <t xml:space="preserve">Pablo Gonzalez </t>
  </si>
  <si>
    <t xml:space="preserve">Conductor de Vehículo </t>
  </si>
  <si>
    <t xml:space="preserve">Ruben Morales </t>
  </si>
  <si>
    <t xml:space="preserve">Luis Pineda </t>
  </si>
  <si>
    <t xml:space="preserve">Asistente de Planificador </t>
  </si>
  <si>
    <t xml:space="preserve">Analista de Sociedades de Emprendimiento </t>
  </si>
  <si>
    <t>Dayana Isabel Trotman</t>
  </si>
  <si>
    <t xml:space="preserve">Oficinista </t>
  </si>
  <si>
    <t>Recepcionista</t>
  </si>
  <si>
    <t>Secretaria</t>
  </si>
  <si>
    <t>Asistente Administrativa</t>
  </si>
  <si>
    <t>Directora Administrativa</t>
  </si>
  <si>
    <t>Sede - Dirección Administrativa</t>
  </si>
  <si>
    <t xml:space="preserve">Enelda de Ceballos </t>
  </si>
  <si>
    <t xml:space="preserve">Directora de Finanzas </t>
  </si>
  <si>
    <t>Yorlenis Yaribeth Caballero de Brown</t>
  </si>
  <si>
    <t>Ashley Elizabeth Casseres Vargas</t>
  </si>
  <si>
    <t>Aldair Antonio Collado Colucci</t>
  </si>
  <si>
    <t xml:space="preserve">Planificador </t>
  </si>
  <si>
    <t xml:space="preserve">Cristobalina Arosemena Vega </t>
  </si>
  <si>
    <t xml:space="preserve">Ibero Fernandez Gomez </t>
  </si>
  <si>
    <t xml:space="preserve">Director de Servicios Financieros </t>
  </si>
  <si>
    <t>Mirna Herrera</t>
  </si>
  <si>
    <t xml:space="preserve">Ana Mercedes Jimenez Quintero </t>
  </si>
  <si>
    <t>Romit Tuñón</t>
  </si>
  <si>
    <t>Mario Omar Dominguez</t>
  </si>
  <si>
    <t xml:space="preserve">Maria Castillo </t>
  </si>
  <si>
    <t>Secretaria Ejecutiva</t>
  </si>
  <si>
    <t xml:space="preserve">Recepcionista </t>
  </si>
  <si>
    <t xml:space="preserve">Sede - Dirección General </t>
  </si>
  <si>
    <t xml:space="preserve">Victor Beitia </t>
  </si>
  <si>
    <t xml:space="preserve">Roberto Arcia </t>
  </si>
  <si>
    <t>Trabajador Manual</t>
  </si>
  <si>
    <t>Jefe de Mantenimiento</t>
  </si>
  <si>
    <t xml:space="preserve">Santiago Lopez </t>
  </si>
  <si>
    <t xml:space="preserve">Simon Evila </t>
  </si>
  <si>
    <t>Nazareth Butcher</t>
  </si>
  <si>
    <t xml:space="preserve">Edwin Omar Montilla </t>
  </si>
  <si>
    <t>Analista de Gestión Empresarial</t>
  </si>
  <si>
    <t>Ana Carolina Espinoza</t>
  </si>
  <si>
    <t xml:space="preserve">Secretaria </t>
  </si>
  <si>
    <t>Yaviritzel Ivette Aguilera Pretto</t>
  </si>
  <si>
    <t>Arturo Jesus Gonzalez Moreno</t>
  </si>
  <si>
    <t xml:space="preserve">Analista de Gestión Empresarial </t>
  </si>
  <si>
    <t xml:space="preserve">Instructor </t>
  </si>
  <si>
    <t>Abogado</t>
  </si>
  <si>
    <t xml:space="preserve">Abogado </t>
  </si>
  <si>
    <t>Richezzaly Michelle Diaz Malca</t>
  </si>
  <si>
    <t xml:space="preserve">Administrador </t>
  </si>
  <si>
    <t xml:space="preserve">Chitre - Espacio del Emprendedor </t>
  </si>
  <si>
    <t xml:space="preserve">Reina Carrizo Salina </t>
  </si>
  <si>
    <t>Edgardo Gabriel Quelne</t>
  </si>
  <si>
    <t xml:space="preserve">Karina Mudarra </t>
  </si>
  <si>
    <t xml:space="preserve">Fernando Alberto Bonilla </t>
  </si>
  <si>
    <t>Asistente de Abogado</t>
  </si>
  <si>
    <t xml:space="preserve">Enzo Collado </t>
  </si>
  <si>
    <t>Jefa de la Oficina de Información y Relaciones Públicas</t>
  </si>
  <si>
    <t>Sede - Oficina de Relaciones Públicas</t>
  </si>
  <si>
    <t xml:space="preserve">Maura Sanchez </t>
  </si>
  <si>
    <t>Ana Lisa Vaccaro Angelkos</t>
  </si>
  <si>
    <t xml:space="preserve">Oficinista de Recursos Humanos </t>
  </si>
  <si>
    <t xml:space="preserve">Yanuris Cecilia Delgado Morales </t>
  </si>
  <si>
    <t>Jefe de la Oficina Institucional de Recursos Humanos</t>
  </si>
  <si>
    <t>Analista de Planilla</t>
  </si>
  <si>
    <t xml:space="preserve">Sede - Oficina Institucional de Recursos Humanos </t>
  </si>
  <si>
    <t xml:space="preserve">Asistente de Analista de Gestión Empresarial </t>
  </si>
  <si>
    <t xml:space="preserve">Dayra Villarreal </t>
  </si>
  <si>
    <t>Julissa Arauz</t>
  </si>
  <si>
    <t xml:space="preserve">Jefe Provincial </t>
  </si>
  <si>
    <t>Mariela Vargas</t>
  </si>
  <si>
    <t xml:space="preserve">Cocle - Oficina Provincial </t>
  </si>
  <si>
    <t xml:space="preserve">Ida Maria Camargo Delgado </t>
  </si>
  <si>
    <t xml:space="preserve">Colon - Oficina Provincial </t>
  </si>
  <si>
    <t xml:space="preserve">Malvis Odilis Tejedor </t>
  </si>
  <si>
    <t xml:space="preserve">Angel Josue Escobar Tello </t>
  </si>
  <si>
    <t xml:space="preserve">Herrera - Oficina Provincial </t>
  </si>
  <si>
    <t xml:space="preserve">Yasmin Soto </t>
  </si>
  <si>
    <t xml:space="preserve">Linda Hernandez </t>
  </si>
  <si>
    <t xml:space="preserve">Nereyda Reyes </t>
  </si>
  <si>
    <t xml:space="preserve">Panamá Oeste - Oficina Provincial </t>
  </si>
  <si>
    <t xml:space="preserve">Baru - Oficina Regional </t>
  </si>
  <si>
    <t>Panamá Este - Oficina Regional</t>
  </si>
  <si>
    <t>Asesora</t>
  </si>
  <si>
    <t>Sede - Sistema de Fomento Empresarial</t>
  </si>
  <si>
    <t xml:space="preserve">Joel Rolando Castillo </t>
  </si>
  <si>
    <t>Manuel Vergara</t>
  </si>
  <si>
    <t>Soporte Técnico</t>
  </si>
  <si>
    <t xml:space="preserve">Joan Katherine Perez Perez </t>
  </si>
  <si>
    <t>Secretaria General</t>
  </si>
  <si>
    <t xml:space="preserve">Roberto Antonio Campbell </t>
  </si>
  <si>
    <t xml:space="preserve">Karen Damian de Roque </t>
  </si>
  <si>
    <t>Luis Ortega</t>
  </si>
  <si>
    <t xml:space="preserve">Jefe Regional </t>
  </si>
  <si>
    <t xml:space="preserve">Coordinadora Administrativa y Financiera </t>
  </si>
  <si>
    <t>San Miguelito - Oficina Regional</t>
  </si>
  <si>
    <t xml:space="preserve">Kiara Zulay Olave Castro </t>
  </si>
  <si>
    <t>Orientadora de Registro Empresarial</t>
  </si>
  <si>
    <t>Daniel Isaac Moreno</t>
  </si>
  <si>
    <t xml:space="preserve">Jorge Martinez </t>
  </si>
  <si>
    <t>Asesor</t>
  </si>
  <si>
    <t>Sede - Ventanilla Única</t>
  </si>
  <si>
    <t>4-725-90</t>
  </si>
  <si>
    <t xml:space="preserve">Yarieth Castillo Viquez </t>
  </si>
  <si>
    <t xml:space="preserve">Oscar Enrique Beitia Rios </t>
  </si>
  <si>
    <t>4-782-2103</t>
  </si>
  <si>
    <t xml:space="preserve">Marvin Oscar Zarate Avila </t>
  </si>
  <si>
    <t>Conductor de Vehiculo I</t>
  </si>
  <si>
    <t>Yurisbeth Iluminada Salazar Victoria</t>
  </si>
  <si>
    <t>6-719-316</t>
  </si>
  <si>
    <t>Asistente de Analista de Crédito</t>
  </si>
  <si>
    <t>Liyibell del Carmen Garcia Cianca</t>
  </si>
  <si>
    <t>6-723-241</t>
  </si>
  <si>
    <t>Martha Marichel Cedeño Sucre</t>
  </si>
  <si>
    <t>6-71-900</t>
  </si>
  <si>
    <t xml:space="preserve">Adelys Varela </t>
  </si>
  <si>
    <t>4-735-1514</t>
  </si>
  <si>
    <t xml:space="preserve">Noris Diaz </t>
  </si>
  <si>
    <t>Sede - Garantía y Crédito</t>
  </si>
  <si>
    <t>8-263-309</t>
  </si>
  <si>
    <t xml:space="preserve">Jefe de Departamento de Garantía </t>
  </si>
  <si>
    <t xml:space="preserve">Sandy Lissette Corella Escalante </t>
  </si>
  <si>
    <t>8-845-941</t>
  </si>
  <si>
    <t xml:space="preserve">Fredrick Alcides Cedeño Guerra </t>
  </si>
  <si>
    <t>Sede - Asistencia Técnica y Capacitación</t>
  </si>
  <si>
    <t>Aquelesio Gonzalez Garrido</t>
  </si>
  <si>
    <t>Lesbia Eyda Duncan Trotman</t>
  </si>
  <si>
    <t>Griselda Yanett Pineda Navarro</t>
  </si>
  <si>
    <t xml:space="preserve">Karina Jose Aguilar </t>
  </si>
  <si>
    <t>Sede - Servicios Financieros</t>
  </si>
  <si>
    <t>Bocas del Toro - Oficina Provincial</t>
  </si>
  <si>
    <t>Sede - Mantenimiento</t>
  </si>
  <si>
    <t>Bach Kiria Tuñon</t>
  </si>
  <si>
    <t>Yamileth Montezuma Gil</t>
  </si>
  <si>
    <t>Sede - Compras</t>
  </si>
  <si>
    <t>Jefe Comarcal</t>
  </si>
  <si>
    <t>Asistente de Analista de Gestión Empresarial</t>
  </si>
  <si>
    <t>Ayudante General</t>
  </si>
  <si>
    <t xml:space="preserve">Secretaria Ejecutiva </t>
  </si>
  <si>
    <t>Analista de Recursos Humanos</t>
  </si>
  <si>
    <t xml:space="preserve">Veraguas - Oficina Provincial </t>
  </si>
  <si>
    <t xml:space="preserve">Colon - Espacio del Emprendedor </t>
  </si>
  <si>
    <t>Carlos Beltran Anderson Macias</t>
  </si>
  <si>
    <t>Daniel Reynaldo Hart Nereira</t>
  </si>
  <si>
    <t xml:space="preserve">Rubiela Cedeño Cisneros </t>
  </si>
  <si>
    <t xml:space="preserve">Josue Odniel Acosta Green </t>
  </si>
  <si>
    <t xml:space="preserve">Isaias Gonzalez Arcia </t>
  </si>
  <si>
    <t>Sede - Transporte</t>
  </si>
  <si>
    <t>David - Oficina Regional</t>
  </si>
  <si>
    <t xml:space="preserve">Ilka Arauz </t>
  </si>
  <si>
    <t xml:space="preserve">Mileika Rodriguez </t>
  </si>
  <si>
    <t xml:space="preserve">Sede - Oficina de Auditoria Interna </t>
  </si>
  <si>
    <t xml:space="preserve">Karen Aguirre </t>
  </si>
  <si>
    <t>David - Espacio del Emprendedor</t>
  </si>
  <si>
    <t xml:space="preserve">Enrique Josue Herrera </t>
  </si>
  <si>
    <t xml:space="preserve">Felix Javier De Leon Ruiz </t>
  </si>
  <si>
    <t>Sede - Seguridad</t>
  </si>
  <si>
    <t>Roger Rodriguez Uribe</t>
  </si>
  <si>
    <t>Gnobe Buglé - Oficina Comarcal</t>
  </si>
  <si>
    <t xml:space="preserve">Elisia Flaco </t>
  </si>
  <si>
    <t xml:space="preserve">Los Santos - Oficina Provincial </t>
  </si>
  <si>
    <t xml:space="preserve">Yilena Flores </t>
  </si>
  <si>
    <t xml:space="preserve">Carlos Vergara </t>
  </si>
  <si>
    <t xml:space="preserve">Aramis Daniel De Lora Rodriguez </t>
  </si>
  <si>
    <t>Cinta Costera - Espacio del Emprendedor</t>
  </si>
  <si>
    <t xml:space="preserve">Roddy Espino </t>
  </si>
  <si>
    <t xml:space="preserve">Elizabeth Dominguez </t>
  </si>
  <si>
    <t xml:space="preserve">Siara Rodriguez </t>
  </si>
  <si>
    <t xml:space="preserve">Tania Lizeth Delgado Villarreal </t>
  </si>
  <si>
    <t xml:space="preserve">Noemi Cordoba </t>
  </si>
  <si>
    <t>Erika Jeaneth Diaz Garcia</t>
  </si>
  <si>
    <t xml:space="preserve">Yerina Raquel Cedeño Rivera </t>
  </si>
  <si>
    <t xml:space="preserve">Dayana Nazareth Vergara </t>
  </si>
  <si>
    <t xml:space="preserve">Victorino Villarreal </t>
  </si>
  <si>
    <t xml:space="preserve">Asistente Administrativo </t>
  </si>
  <si>
    <t>Sede - Microcrédito</t>
  </si>
  <si>
    <t xml:space="preserve">Yocelin Machuca </t>
  </si>
  <si>
    <t xml:space="preserve">Emberá Wounaan - Oficina Comarcal </t>
  </si>
  <si>
    <t>Sede - Bienes Patrimoniales</t>
  </si>
  <si>
    <t>Noemí Del Carmen Salvatierra Mejía</t>
  </si>
  <si>
    <t>Carlos Javier Rivas Arevalo</t>
  </si>
  <si>
    <t xml:space="preserve">Armando Karamañites </t>
  </si>
  <si>
    <t xml:space="preserve">Valkis Vanessa Diaz Diaz </t>
  </si>
  <si>
    <t xml:space="preserve">Jose Aguirre </t>
  </si>
  <si>
    <t xml:space="preserve">Elizabeth Gonzalez Castillo </t>
  </si>
  <si>
    <t>Aimee Teresa Alvarez Areces de Arias</t>
  </si>
  <si>
    <t xml:space="preserve">Coordinador de Enlace interinstitucional </t>
  </si>
  <si>
    <t>Agueda Peña de Gracia</t>
  </si>
  <si>
    <t xml:space="preserve">Silvia Mercedes Fábrega Sánchez </t>
  </si>
  <si>
    <t xml:space="preserve">Sub Directora General </t>
  </si>
  <si>
    <t xml:space="preserve">Ana M. Gonzalez </t>
  </si>
  <si>
    <t xml:space="preserve">Abogada </t>
  </si>
  <si>
    <t xml:space="preserve">Asesor  </t>
  </si>
  <si>
    <t xml:space="preserve">Juana Martínez </t>
  </si>
  <si>
    <t>Sede - Dirección General</t>
  </si>
  <si>
    <t xml:space="preserve">Sede - Subdirección General </t>
  </si>
  <si>
    <t>Edgar Alexis Herrera</t>
  </si>
  <si>
    <t>Analista de Sociedades de Emprendimiento</t>
  </si>
  <si>
    <t>Asistente Técnico</t>
  </si>
  <si>
    <t xml:space="preserve">Sede - Asesoría Legal </t>
  </si>
  <si>
    <t xml:space="preserve">Antonio Constantino Garrido </t>
  </si>
  <si>
    <t xml:space="preserve">Amayda Ereina Bethancourt </t>
  </si>
  <si>
    <t xml:space="preserve">Jefe del Departamento de Contabilidad </t>
  </si>
  <si>
    <t>Sede - Contabilidad</t>
  </si>
  <si>
    <t>Daisy Judith Valderrama Saa</t>
  </si>
  <si>
    <t>Sede - Presupuesto</t>
  </si>
  <si>
    <t>Sede - Oficina Institucional de Recursos Humanos</t>
  </si>
  <si>
    <t xml:space="preserve">Almacenista </t>
  </si>
  <si>
    <t xml:space="preserve">Sede - Almacen </t>
  </si>
  <si>
    <t>Sede - Finanzas</t>
  </si>
  <si>
    <t xml:space="preserve">Carla Mayleen Guerra Quijano </t>
  </si>
  <si>
    <t xml:space="preserve">Asistente Ejecutiva </t>
  </si>
  <si>
    <t xml:space="preserve">Yakelin Rivera </t>
  </si>
  <si>
    <t xml:space="preserve">Yajaira Valderrama </t>
  </si>
  <si>
    <t xml:space="preserve">Yornelys Bethancourt </t>
  </si>
  <si>
    <t>Jefe de Almacen</t>
  </si>
  <si>
    <t xml:space="preserve">Candy Rose Allen Arias </t>
  </si>
  <si>
    <t>Justina Yariela Guerrero Avila</t>
  </si>
  <si>
    <t xml:space="preserve">Analista de Compras </t>
  </si>
  <si>
    <t xml:space="preserve">Diseñador Gráfico </t>
  </si>
  <si>
    <t>Sede - Registro Empresarial</t>
  </si>
  <si>
    <t xml:space="preserve">Raul Fernandez </t>
  </si>
  <si>
    <t>Director General</t>
  </si>
  <si>
    <t xml:space="preserve">Fotográfo </t>
  </si>
  <si>
    <t>Josue Jannette Ruiz de Santamaria</t>
  </si>
  <si>
    <t xml:space="preserve">Ana Entebi Cruz </t>
  </si>
  <si>
    <t>Giovani Cecilia Navarro</t>
  </si>
  <si>
    <t>Sede - Secretaría General</t>
  </si>
  <si>
    <t>Darien - Oficina Provincial</t>
  </si>
  <si>
    <t xml:space="preserve">Oscar Danilo Cruz Brown </t>
  </si>
  <si>
    <t>Sede - Coordinación de Regionales</t>
  </si>
  <si>
    <t xml:space="preserve">Jefe de Seguridad </t>
  </si>
  <si>
    <t xml:space="preserve">Eilyn Tejada </t>
  </si>
  <si>
    <t>Carlos Deville</t>
  </si>
  <si>
    <t>Marcos Valencia Berrugate</t>
  </si>
  <si>
    <t>Allison Yaxeni Garcia Lobon</t>
  </si>
  <si>
    <t>Jefa del Departamento de Microcrédito</t>
  </si>
  <si>
    <t>Maribel Esquivel</t>
  </si>
  <si>
    <t>Joshua Jaramillo</t>
  </si>
  <si>
    <t>Donaldo Pineda</t>
  </si>
  <si>
    <t>Nazaria Campos</t>
  </si>
  <si>
    <t>Jefa de Tesoreria, Encargada</t>
  </si>
  <si>
    <t>Sede - Tesorería</t>
  </si>
  <si>
    <t>Luis A. Calles</t>
  </si>
  <si>
    <t>Mensajero Interno</t>
  </si>
  <si>
    <t>25 de octubre de 1964</t>
  </si>
  <si>
    <t>FECHA DE NACIMIENTO</t>
  </si>
  <si>
    <t xml:space="preserve">Jefa Provincial </t>
  </si>
  <si>
    <t xml:space="preserve">Cotizador de Precio </t>
  </si>
  <si>
    <t>Jefe de Sección de Bienes Patrimoniales</t>
  </si>
  <si>
    <t>Sede - Correspondencia</t>
  </si>
  <si>
    <t>Melida Vargas</t>
  </si>
  <si>
    <t xml:space="preserve">Karla Gabriela Staff Castro </t>
  </si>
  <si>
    <t xml:space="preserve">Alison Garcia Veliz </t>
  </si>
  <si>
    <t xml:space="preserve">Directora de Servicios de Desarrollo Empresarial </t>
  </si>
  <si>
    <t xml:space="preserve">Sede - Dirección de Desarrollo Empresarial </t>
  </si>
  <si>
    <t>Victor Rivadeneira</t>
  </si>
  <si>
    <t>Angie Martez</t>
  </si>
  <si>
    <t xml:space="preserve">Edgar Euclides Pimentel Trujillo </t>
  </si>
  <si>
    <t>Nereyda Rachell Diaz Lucero</t>
  </si>
  <si>
    <t>Janeth Edith Santamaria Sanchez</t>
  </si>
  <si>
    <t>Asistente de Información y Relaciones Públicas</t>
  </si>
  <si>
    <t>Contadora</t>
  </si>
  <si>
    <t xml:space="preserve">Hiceki Santamaria </t>
  </si>
  <si>
    <t xml:space="preserve">Fergie N. St Rose </t>
  </si>
  <si>
    <t xml:space="preserve">Maria del Rosario Vargas Garces </t>
  </si>
  <si>
    <t>Angela Atalia Jimenez</t>
  </si>
  <si>
    <t>Helci Argelis Salazar Moran</t>
  </si>
  <si>
    <t>Keisy Kadhin Tapia</t>
  </si>
  <si>
    <t>Kabir Germaim Madrid Machuca</t>
  </si>
  <si>
    <t>Jefe de la Unidad Informática</t>
  </si>
  <si>
    <t>Itzy M. Dominguez</t>
  </si>
  <si>
    <t>Josias Torres</t>
  </si>
  <si>
    <t>Dayan Gitzel Pinzón Martinez de Castillo</t>
  </si>
  <si>
    <t>7 de abril de 2025</t>
  </si>
  <si>
    <t>18 de marzo de 2025</t>
  </si>
  <si>
    <t>17 de marzo de 2025</t>
  </si>
  <si>
    <t>Guna Yala - Oficina Comarcal</t>
  </si>
  <si>
    <t>FECHA ACTUAL</t>
  </si>
  <si>
    <t>19 de diciembre de 1994</t>
  </si>
  <si>
    <t>Ariadna Pitti</t>
  </si>
  <si>
    <t>5 de agosto de 1993</t>
  </si>
  <si>
    <t>28 de mayo de 1965</t>
  </si>
  <si>
    <t>16 de septiembre de 2014</t>
  </si>
  <si>
    <t>4 de octubre de 2024</t>
  </si>
  <si>
    <t>23 de septiembre de 2024</t>
  </si>
  <si>
    <t>23 de junio de 2023</t>
  </si>
  <si>
    <t>8 de abril de 2025</t>
  </si>
  <si>
    <t>18 de noviembre de 2019</t>
  </si>
  <si>
    <t>7 de noviembre de 2024</t>
  </si>
  <si>
    <t>25 de mayo de 1972</t>
  </si>
  <si>
    <t>17 de julio de 2019</t>
  </si>
  <si>
    <t>15 de septiembre de 2006</t>
  </si>
  <si>
    <t>20 de febrero de 1977</t>
  </si>
  <si>
    <t>16 de noviembre de 1980</t>
  </si>
  <si>
    <t>3 de octubre de 2011</t>
  </si>
  <si>
    <t>20 de julio de 2000</t>
  </si>
  <si>
    <t>21 de noviembre de 2024</t>
  </si>
  <si>
    <t>7 de octubre de 2024</t>
  </si>
  <si>
    <t>29 de marzo de 1991</t>
  </si>
  <si>
    <t>5 de mayo de 2025</t>
  </si>
  <si>
    <t>1 de agosto de 2024</t>
  </si>
  <si>
    <t>2 de marzo de 2015</t>
  </si>
  <si>
    <t>13 de noviembre de 2019</t>
  </si>
  <si>
    <t>1 de septiembre de 2020</t>
  </si>
  <si>
    <t>23 de agosto de 2019</t>
  </si>
  <si>
    <t>2 de junio de 2025</t>
  </si>
  <si>
    <t>11 de agosto de 2015</t>
  </si>
  <si>
    <t>15 de abril de 1974</t>
  </si>
  <si>
    <t>9 de julio de 2015</t>
  </si>
  <si>
    <t>31 de julio de 1984</t>
  </si>
  <si>
    <t>16 de junio de 2025</t>
  </si>
  <si>
    <t>20 de marzo de 1986</t>
  </si>
  <si>
    <t>26 de mayo de 2025</t>
  </si>
  <si>
    <t>13 de octubre de 2021</t>
  </si>
  <si>
    <t>3 de octubre de 1986</t>
  </si>
  <si>
    <t>27 de mayo de 2025</t>
  </si>
  <si>
    <t>29 de diciembre de 1986</t>
  </si>
  <si>
    <t>16 de mayo de 2025</t>
  </si>
  <si>
    <t>5 de junio de 1987</t>
  </si>
  <si>
    <t>18 de noviembre de 2024</t>
  </si>
  <si>
    <t>2 de julio de 2024</t>
  </si>
  <si>
    <t>7 de diciembre de 1990</t>
  </si>
  <si>
    <t>13 de noviembre de 2024</t>
  </si>
  <si>
    <t>3 de septiembre de 2019</t>
  </si>
  <si>
    <t>28 de octubre de 2019</t>
  </si>
  <si>
    <t>16 de febrero de 2024</t>
  </si>
  <si>
    <t>1 de diciembre de 1982</t>
  </si>
  <si>
    <t>17 de junio de 1996</t>
  </si>
  <si>
    <t>9 de junio de 2025</t>
  </si>
  <si>
    <t>18 de mayo de 2022</t>
  </si>
  <si>
    <t>18 de septiembre de 2002</t>
  </si>
  <si>
    <t>21 de octubre de 2014</t>
  </si>
  <si>
    <t>23 de mayo de 2022</t>
  </si>
  <si>
    <t>2 de septiembre de 2024</t>
  </si>
  <si>
    <t>12 de octubre de 2009</t>
  </si>
  <si>
    <t>16 de julio de 2024</t>
  </si>
  <si>
    <t>10 de febrero de 1971</t>
  </si>
  <si>
    <t>2 de noviembre de 2020</t>
  </si>
  <si>
    <t>21 de octubre de 2019</t>
  </si>
  <si>
    <t>27 de septiembre de 1993</t>
  </si>
  <si>
    <t>22 de mayo de 2025</t>
  </si>
  <si>
    <t>19 de octubre de 1995</t>
  </si>
  <si>
    <t>11 de febrero de 2000</t>
  </si>
  <si>
    <t>11 de septiembre de 2014</t>
  </si>
  <si>
    <t>30 de septiembre de 2019</t>
  </si>
  <si>
    <t>2 de marzo de 2006</t>
  </si>
  <si>
    <t>20 de septiembre de 2005</t>
  </si>
  <si>
    <t>17 de octubre de 2024</t>
  </si>
  <si>
    <t>1 de diciembre de 2000</t>
  </si>
  <si>
    <t>16 de mayo de 2016</t>
  </si>
  <si>
    <t>15 de octubre de 2004</t>
  </si>
  <si>
    <t>10 de abril de 1967</t>
  </si>
  <si>
    <t>24 de agosto de 2020</t>
  </si>
  <si>
    <t>15 de julio de 2024</t>
  </si>
  <si>
    <t>3 de julio de 2017</t>
  </si>
  <si>
    <t>2 de septiembre de 2019</t>
  </si>
  <si>
    <t>3 de agosto de 2020</t>
  </si>
  <si>
    <t>4 de mayo de 2022</t>
  </si>
  <si>
    <t>12 de noviembre de 2024</t>
  </si>
  <si>
    <t>16 de septiembre de 2024</t>
  </si>
  <si>
    <t>30 de septiembre de 2024</t>
  </si>
  <si>
    <t>26 de agosto de 2024</t>
  </si>
  <si>
    <t>6 de junio de 2022</t>
  </si>
  <si>
    <t>16 de octubre de 2023</t>
  </si>
  <si>
    <t>6 de enero de 2020</t>
  </si>
  <si>
    <t>16 de enero de 2001</t>
  </si>
  <si>
    <t>15 de mayo de 2019</t>
  </si>
  <si>
    <t>16 de septiembre de 2020</t>
  </si>
  <si>
    <t>16 de julio de 2012</t>
  </si>
  <si>
    <t>20 de enero de 2015</t>
  </si>
  <si>
    <t>26 de marzo de 1980</t>
  </si>
  <si>
    <t>25 de septiembre de 2024</t>
  </si>
  <si>
    <t>9 de junio de 1980</t>
  </si>
  <si>
    <t>31 de julio de 2024</t>
  </si>
  <si>
    <t>1 de septiembre de 2014</t>
  </si>
  <si>
    <t>17 de octubre de 2016</t>
  </si>
  <si>
    <t>21 de octubre de 2024</t>
  </si>
  <si>
    <t>25 de noviembre de 2019</t>
  </si>
  <si>
    <t>2 de octubre de 2024</t>
  </si>
  <si>
    <t>Madelin Marulis Escudero Valdes</t>
  </si>
  <si>
    <t>8-895-2128</t>
  </si>
  <si>
    <t xml:space="preserve">Mariacarolina Añiño Ramos </t>
  </si>
  <si>
    <t>3 de agosto de 1995</t>
  </si>
  <si>
    <t>1 de agosto de 2025</t>
  </si>
  <si>
    <t xml:space="preserve">Abdiel Antonio Bustamante </t>
  </si>
  <si>
    <t>28 de marzo de 1991</t>
  </si>
  <si>
    <t>8-243-424</t>
  </si>
  <si>
    <t xml:space="preserve">Juan Antonio Aparicio Garcia </t>
  </si>
  <si>
    <t>30 de octubre de 1965</t>
  </si>
  <si>
    <t>18 de agosto de 2025</t>
  </si>
  <si>
    <t>2-83-2428</t>
  </si>
  <si>
    <t xml:space="preserve">Ernesto Diaz Arauz </t>
  </si>
  <si>
    <t>20 de noviembre de 1957</t>
  </si>
  <si>
    <t xml:space="preserve">Analista de Crédito </t>
  </si>
  <si>
    <t>8-918-460</t>
  </si>
  <si>
    <t>Gabriel Octavio De Janon Rabat</t>
  </si>
  <si>
    <t>10 de mayo de 1997</t>
  </si>
  <si>
    <t>Asistente Ejecutivo</t>
  </si>
  <si>
    <t>8-977-1075</t>
  </si>
  <si>
    <t xml:space="preserve">Jean Carlos Melgar Aguilar </t>
  </si>
  <si>
    <t>4 de enero de 2002</t>
  </si>
  <si>
    <t>Programador de Sistemas de Soporte I</t>
  </si>
  <si>
    <t>8-924-1480</t>
  </si>
  <si>
    <t>Kristell Yasmeira Martinez Abrego</t>
  </si>
  <si>
    <t>9 de noviembre de 1997</t>
  </si>
  <si>
    <t xml:space="preserve">Jefa del Departamento de Compras </t>
  </si>
  <si>
    <t>6-722-1047</t>
  </si>
  <si>
    <t>Guadalupe Mireya Bravo</t>
  </si>
  <si>
    <t>8 de abril de 1999</t>
  </si>
  <si>
    <t>8-753-730</t>
  </si>
  <si>
    <t>13 de agosto de 2025</t>
  </si>
  <si>
    <t xml:space="preserve">Daniel Humberto Gomez Cordoba </t>
  </si>
  <si>
    <t>8 de enero de 1982</t>
  </si>
  <si>
    <t>Conductor / Escolta</t>
  </si>
  <si>
    <t xml:space="preserve">Jefa de Registro Empresarial </t>
  </si>
  <si>
    <t>Jefa de Asistencia Técnica, Capacitación y Ventanilla Única</t>
  </si>
  <si>
    <t>Jefa de la Oficina de Asesoria Legal</t>
  </si>
  <si>
    <t>Asesora del Despacho Superior</t>
  </si>
  <si>
    <t>8-800-1947</t>
  </si>
  <si>
    <t>Joao Quiroz</t>
  </si>
  <si>
    <t>25 de agosto de 2025</t>
  </si>
  <si>
    <t>4 de diciembre de 1986</t>
  </si>
  <si>
    <t>8-876-50</t>
  </si>
  <si>
    <t>Genesis Anneth Springer Gonzalez</t>
  </si>
  <si>
    <t>1 de septiembre de 2025</t>
  </si>
  <si>
    <t>8-825-938</t>
  </si>
  <si>
    <t xml:space="preserve">Jomaly Gonzalez </t>
  </si>
  <si>
    <t>8-834-516</t>
  </si>
  <si>
    <t xml:space="preserve">Galina Katiuska Calvo Paz </t>
  </si>
  <si>
    <t>7 de diciembre de 1993</t>
  </si>
  <si>
    <t>21 de agosto de 1996</t>
  </si>
  <si>
    <t>6 de junio de 1985</t>
  </si>
  <si>
    <t>23 de febrero de 1990</t>
  </si>
  <si>
    <t>26 de abril de 1989</t>
  </si>
  <si>
    <t>TIPO DE SANGRE</t>
  </si>
  <si>
    <t>O+</t>
  </si>
  <si>
    <t>A+</t>
  </si>
  <si>
    <t>O-</t>
  </si>
  <si>
    <t>B+</t>
  </si>
  <si>
    <t>B-</t>
  </si>
  <si>
    <t>A-</t>
  </si>
  <si>
    <t>Elisabeth Anagnopoulos</t>
  </si>
  <si>
    <t>AB-</t>
  </si>
  <si>
    <t>AB+</t>
  </si>
  <si>
    <t>Jefe de Auditoria Interna</t>
  </si>
  <si>
    <t>Director de Coordinación de Oficinas Regionales / Provinciales</t>
  </si>
  <si>
    <t>8-434-776</t>
  </si>
  <si>
    <t>Julissa Zambrano Cerceño</t>
  </si>
  <si>
    <t>1 de julio de 1973</t>
  </si>
  <si>
    <t>17 de septiembre de 2025</t>
  </si>
  <si>
    <t>Roderick Viquez Montero</t>
  </si>
  <si>
    <t>Maricela del Carmen Gonzalez de Llorente</t>
  </si>
  <si>
    <t>German Castro Miranda</t>
  </si>
  <si>
    <t>3 de abril de 1968</t>
  </si>
  <si>
    <t>4 de junio de 2018</t>
  </si>
  <si>
    <t>6 de octubre de 1959</t>
  </si>
  <si>
    <t>2 de octubre de 1967</t>
  </si>
  <si>
    <t>1 de agosto de 2014</t>
  </si>
  <si>
    <t>8-795-1814</t>
  </si>
  <si>
    <t xml:space="preserve">Jonathan Kafhir Nuñez Anderson </t>
  </si>
  <si>
    <t>8 de junio de 1985</t>
  </si>
  <si>
    <t>22 de septiembre de 2025</t>
  </si>
  <si>
    <t>8-923-1229</t>
  </si>
  <si>
    <t xml:space="preserve">Maritza Esthepany Cordoba Garcia </t>
  </si>
  <si>
    <t>16 de abril de 1997</t>
  </si>
  <si>
    <t>3-752-220</t>
  </si>
  <si>
    <t>Jairo Abdiel Castañeda del Rosario</t>
  </si>
  <si>
    <t>21 de noviembre de 1999</t>
  </si>
  <si>
    <t>8-933-1966</t>
  </si>
  <si>
    <t>Milca Yaseth Caballero Magdaleno</t>
  </si>
  <si>
    <t>6 de julio de 1998</t>
  </si>
  <si>
    <t>7 de octubre de 2025</t>
  </si>
  <si>
    <t>8-925-454</t>
  </si>
  <si>
    <t>Bolivar Joel Guerra Pimentel</t>
  </si>
  <si>
    <t>10 de noviembre de 1997</t>
  </si>
  <si>
    <t>4-741-573</t>
  </si>
  <si>
    <t xml:space="preserve">Johana Lisbeth Santamaria Atencio de Perez </t>
  </si>
  <si>
    <t>24 de enero de 1983</t>
  </si>
  <si>
    <t>Orlando Gonzalez</t>
  </si>
  <si>
    <t>Eygar McCalla</t>
  </si>
  <si>
    <t>21 de septiembre de 2003</t>
  </si>
  <si>
    <t>8-1036-2369</t>
  </si>
  <si>
    <t>8-958-1943</t>
  </si>
  <si>
    <t>Michael Antonio Moreno Garcia</t>
  </si>
  <si>
    <t>Analista de Credito</t>
  </si>
  <si>
    <t>20 de octubre de 2025</t>
  </si>
  <si>
    <t>3-727-2202</t>
  </si>
  <si>
    <t>09 de diciembre de 1991</t>
  </si>
  <si>
    <t>15 de agosto de 1965</t>
  </si>
  <si>
    <t>9-130-472</t>
  </si>
  <si>
    <t>8-803-1722</t>
  </si>
  <si>
    <t>04 de febrero de 1987</t>
  </si>
  <si>
    <t>Capacitadora Tecnico de Gestion Empresarial</t>
  </si>
  <si>
    <t>Yezibel Judith Castro Rivadeneira</t>
  </si>
  <si>
    <t>8-782-1172</t>
  </si>
  <si>
    <t>Arnulfo Jose Flores Sanchez</t>
  </si>
  <si>
    <t>12 de diciembre de 1984</t>
  </si>
  <si>
    <t>21 de octubre de 2025</t>
  </si>
  <si>
    <t>8-1027-172</t>
  </si>
  <si>
    <t>Isaac Antonio Concepción Graham</t>
  </si>
  <si>
    <t>23 de mayo de 2004</t>
  </si>
  <si>
    <t>Julissa Jimenez Campbell</t>
  </si>
  <si>
    <t>Sede - Unidad Informática</t>
  </si>
  <si>
    <t>Sede - Dirección de Planificacion</t>
  </si>
  <si>
    <t>8-961-1921</t>
  </si>
  <si>
    <t>8-1027-2257</t>
  </si>
  <si>
    <t>Dalyshell Namibia Baez Pineda</t>
  </si>
  <si>
    <t>16 de octubre de 2005</t>
  </si>
  <si>
    <t>Oficial de Protocolo</t>
  </si>
  <si>
    <t>6 de noviembre de 2025</t>
  </si>
  <si>
    <t>Sede - Oficina de Informacion y Relaciones Pública</t>
  </si>
  <si>
    <t>4-276-787</t>
  </si>
  <si>
    <t>Rafael Agustin Della Sera Camaño</t>
  </si>
  <si>
    <t>17 de noviembre de 1962</t>
  </si>
  <si>
    <t>Jefe del Departamento de Tesorería</t>
  </si>
  <si>
    <t>Sede- Departamento de Tesorería</t>
  </si>
  <si>
    <t>8-849-117</t>
  </si>
  <si>
    <t>Eyra Codrington</t>
  </si>
  <si>
    <t>01  de octubre de 1988</t>
  </si>
  <si>
    <t>Recepcionista de Recursos Humanos y Asesoria Legal</t>
  </si>
  <si>
    <t>2 de octubre de 2000</t>
  </si>
  <si>
    <t>28 de octubre de 2025</t>
  </si>
  <si>
    <t>Daniel Angel Villarreal Guzman</t>
  </si>
  <si>
    <t>Técnico de Soporte de Sistemas de Información</t>
  </si>
  <si>
    <t>8-771-1418</t>
  </si>
  <si>
    <t>Isaac Cedeño  Sánchez</t>
  </si>
  <si>
    <t>8 de diciembre de 1983</t>
  </si>
  <si>
    <t>11 de noviembre de 2025</t>
  </si>
  <si>
    <t>Sede - Direccion de Planificacion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</si>
</sst>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&quot;B/.&quot;#,##0.00"/>
    <numFmt numFmtId="166" formatCode="[$-180A]d&quot; de &quot;mmmm&quot; de &quot;yyyy;@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165" fontId="1" fillId="0" borderId="1" xfId="0" applyNumberFormat="1" applyFont="1" applyBorder="1"/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right"/>
    </xf>
    <xf numFmtId="164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0" xfId="0" applyFont="1"/>
    <xf numFmtId="0" fontId="3" fillId="2" borderId="0" xfId="0" applyFont="1" applyFill="1" applyAlignment="1">
      <alignment horizontal="right"/>
    </xf>
    <xf numFmtId="166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66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03"/>
  <sheetViews>
    <sheetView tabSelected="1" topLeftCell="G157" zoomScale="120" zoomScaleNormal="120" workbookViewId="0">
      <selection activeCell="M99" sqref="M99"/>
    </sheetView>
  </sheetViews>
  <sheetFormatPr baseColWidth="10" defaultColWidth="11.42578125" defaultRowHeight="12.75" x14ac:dyDescent="0.2"/>
  <cols>
    <col min="1" max="1" width="1.85546875" style="1" customWidth="1"/>
    <col min="2" max="2" width="5.7109375" style="2" customWidth="1"/>
    <col min="3" max="3" width="9.28515625" style="1" customWidth="1"/>
    <col min="4" max="4" width="13.42578125" style="1" customWidth="1"/>
    <col min="5" max="5" width="32.85546875" style="1" customWidth="1"/>
    <col min="6" max="6" width="25.42578125" style="13" customWidth="1"/>
    <col min="7" max="7" width="13.28515625" style="1" customWidth="1"/>
    <col min="8" max="8" width="15.42578125" style="1" customWidth="1"/>
    <col min="9" max="10" width="17.42578125" style="4" customWidth="1"/>
    <col min="11" max="11" width="52.5703125" style="1" customWidth="1"/>
    <col min="12" max="12" width="27.7109375" style="13" customWidth="1"/>
    <col min="13" max="13" width="50.85546875" style="1" customWidth="1"/>
    <col min="14" max="16384" width="11.42578125" style="1"/>
  </cols>
  <sheetData>
    <row r="1" spans="2:13" x14ac:dyDescent="0.2">
      <c r="B1" s="3" t="s">
        <v>146</v>
      </c>
      <c r="C1" s="3" t="s">
        <v>140</v>
      </c>
      <c r="D1" s="3" t="s">
        <v>141</v>
      </c>
      <c r="E1" s="3" t="s">
        <v>142</v>
      </c>
      <c r="F1" s="19" t="s">
        <v>432</v>
      </c>
      <c r="G1" s="3"/>
      <c r="H1" s="3" t="s">
        <v>464</v>
      </c>
      <c r="I1" s="3" t="s">
        <v>149</v>
      </c>
      <c r="J1" s="3" t="s">
        <v>621</v>
      </c>
      <c r="K1" s="3" t="s">
        <v>143</v>
      </c>
      <c r="L1" s="19" t="s">
        <v>144</v>
      </c>
      <c r="M1" s="3" t="s">
        <v>145</v>
      </c>
    </row>
    <row r="2" spans="2:13" x14ac:dyDescent="0.2">
      <c r="B2" s="8">
        <v>1</v>
      </c>
      <c r="C2" s="6">
        <v>479</v>
      </c>
      <c r="D2" s="6" t="s">
        <v>77</v>
      </c>
      <c r="E2" s="6" t="s">
        <v>311</v>
      </c>
      <c r="F2" s="20">
        <v>28761</v>
      </c>
      <c r="G2" s="10">
        <v>28761</v>
      </c>
      <c r="H2" s="11">
        <f t="shared" ref="H2:H12" ca="1" si="0">TODAY()</f>
        <v>45973</v>
      </c>
      <c r="I2" s="5">
        <f t="shared" ref="I2:I12" ca="1" si="1">DATEDIF(G2, H2, "Y")</f>
        <v>47</v>
      </c>
      <c r="J2" s="5" t="s">
        <v>622</v>
      </c>
      <c r="K2" s="6" t="s">
        <v>321</v>
      </c>
      <c r="L2" s="11" t="s">
        <v>470</v>
      </c>
      <c r="M2" s="6" t="s">
        <v>463</v>
      </c>
    </row>
    <row r="3" spans="2:13" x14ac:dyDescent="0.2">
      <c r="B3" s="8">
        <v>2</v>
      </c>
      <c r="C3" s="6">
        <v>2216</v>
      </c>
      <c r="D3" s="6" t="s">
        <v>123</v>
      </c>
      <c r="E3" s="6" t="s">
        <v>312</v>
      </c>
      <c r="F3" s="20">
        <v>25768</v>
      </c>
      <c r="G3" s="10">
        <v>25768</v>
      </c>
      <c r="H3" s="11">
        <f t="shared" ca="1" si="0"/>
        <v>45973</v>
      </c>
      <c r="I3" s="5">
        <f t="shared" ca="1" si="1"/>
        <v>55</v>
      </c>
      <c r="J3" s="5" t="s">
        <v>622</v>
      </c>
      <c r="K3" s="6" t="s">
        <v>255</v>
      </c>
      <c r="L3" s="11" t="s">
        <v>471</v>
      </c>
      <c r="M3" s="6" t="s">
        <v>316</v>
      </c>
    </row>
    <row r="4" spans="2:13" x14ac:dyDescent="0.2">
      <c r="B4" s="8">
        <v>3</v>
      </c>
      <c r="C4" s="6">
        <v>480</v>
      </c>
      <c r="D4" s="6" t="s">
        <v>78</v>
      </c>
      <c r="E4" s="6" t="s">
        <v>313</v>
      </c>
      <c r="F4" s="20">
        <v>26686</v>
      </c>
      <c r="G4" s="10">
        <v>26686</v>
      </c>
      <c r="H4" s="11">
        <f t="shared" ca="1" si="0"/>
        <v>45973</v>
      </c>
      <c r="I4" s="5">
        <f t="shared" ca="1" si="1"/>
        <v>52</v>
      </c>
      <c r="J4" s="5" t="s">
        <v>623</v>
      </c>
      <c r="K4" s="6" t="s">
        <v>197</v>
      </c>
      <c r="L4" s="11" t="s">
        <v>472</v>
      </c>
      <c r="M4" s="6" t="s">
        <v>316</v>
      </c>
    </row>
    <row r="5" spans="2:13" x14ac:dyDescent="0.2">
      <c r="B5" s="8">
        <v>4</v>
      </c>
      <c r="C5" s="6">
        <v>139</v>
      </c>
      <c r="D5" s="6" t="s">
        <v>152</v>
      </c>
      <c r="E5" s="6" t="s">
        <v>314</v>
      </c>
      <c r="F5" s="20" t="s">
        <v>465</v>
      </c>
      <c r="G5" s="10">
        <v>34687</v>
      </c>
      <c r="H5" s="11">
        <f t="shared" ca="1" si="0"/>
        <v>45973</v>
      </c>
      <c r="I5" s="5">
        <f t="shared" ca="1" si="1"/>
        <v>30</v>
      </c>
      <c r="J5" s="5" t="s">
        <v>622</v>
      </c>
      <c r="K5" s="6" t="s">
        <v>322</v>
      </c>
      <c r="L5" s="11" t="s">
        <v>473</v>
      </c>
      <c r="M5" s="6" t="s">
        <v>316</v>
      </c>
    </row>
    <row r="6" spans="2:13" x14ac:dyDescent="0.2">
      <c r="B6" s="8">
        <v>5</v>
      </c>
      <c r="C6" s="6">
        <v>74</v>
      </c>
      <c r="D6" s="6" t="s">
        <v>577</v>
      </c>
      <c r="E6" s="6" t="s">
        <v>578</v>
      </c>
      <c r="F6" s="21" t="s">
        <v>579</v>
      </c>
      <c r="G6" s="10">
        <v>21144</v>
      </c>
      <c r="H6" s="11">
        <f t="shared" ca="1" si="0"/>
        <v>45973</v>
      </c>
      <c r="I6" s="5">
        <f t="shared" ca="1" si="1"/>
        <v>67</v>
      </c>
      <c r="J6" s="5" t="s">
        <v>622</v>
      </c>
      <c r="K6" s="6" t="s">
        <v>580</v>
      </c>
      <c r="L6" s="11" t="s">
        <v>576</v>
      </c>
      <c r="M6" s="6" t="s">
        <v>361</v>
      </c>
    </row>
    <row r="7" spans="2:13" x14ac:dyDescent="0.2">
      <c r="B7" s="8">
        <v>6</v>
      </c>
      <c r="C7" s="6">
        <v>2027</v>
      </c>
      <c r="D7" s="6" t="s">
        <v>104</v>
      </c>
      <c r="E7" s="6" t="s">
        <v>256</v>
      </c>
      <c r="F7" s="20" t="s">
        <v>468</v>
      </c>
      <c r="G7" s="10">
        <v>23890</v>
      </c>
      <c r="H7" s="11">
        <f t="shared" ca="1" si="0"/>
        <v>45973</v>
      </c>
      <c r="I7" s="5">
        <f t="shared" ca="1" si="1"/>
        <v>60</v>
      </c>
      <c r="J7" s="5" t="s">
        <v>625</v>
      </c>
      <c r="K7" s="6" t="s">
        <v>197</v>
      </c>
      <c r="L7" s="11" t="s">
        <v>469</v>
      </c>
      <c r="M7" s="6" t="s">
        <v>257</v>
      </c>
    </row>
    <row r="8" spans="2:13" x14ac:dyDescent="0.2">
      <c r="B8" s="8">
        <v>7</v>
      </c>
      <c r="C8" s="6">
        <v>353</v>
      </c>
      <c r="D8" s="6" t="s">
        <v>45</v>
      </c>
      <c r="E8" s="6" t="s">
        <v>209</v>
      </c>
      <c r="F8" s="20">
        <v>23145</v>
      </c>
      <c r="G8" s="10">
        <v>23145</v>
      </c>
      <c r="H8" s="11">
        <f t="shared" ca="1" si="0"/>
        <v>45973</v>
      </c>
      <c r="I8" s="5">
        <f t="shared" ca="1" si="1"/>
        <v>62</v>
      </c>
      <c r="J8" s="5" t="s">
        <v>624</v>
      </c>
      <c r="K8" s="6" t="s">
        <v>166</v>
      </c>
      <c r="L8" s="11" t="s">
        <v>474</v>
      </c>
      <c r="M8" s="6" t="s">
        <v>216</v>
      </c>
    </row>
    <row r="9" spans="2:13" x14ac:dyDescent="0.2">
      <c r="B9" s="8">
        <v>8</v>
      </c>
      <c r="C9" s="6">
        <v>2023</v>
      </c>
      <c r="D9" s="6" t="s">
        <v>102</v>
      </c>
      <c r="E9" s="6" t="s">
        <v>206</v>
      </c>
      <c r="F9" s="20" t="s">
        <v>476</v>
      </c>
      <c r="G9" s="10">
        <v>26444</v>
      </c>
      <c r="H9" s="11">
        <f t="shared" ca="1" si="0"/>
        <v>45973</v>
      </c>
      <c r="I9" s="5">
        <f t="shared" ca="1" si="1"/>
        <v>53</v>
      </c>
      <c r="J9" s="5" t="s">
        <v>622</v>
      </c>
      <c r="K9" s="6" t="s">
        <v>197</v>
      </c>
      <c r="L9" s="11" t="s">
        <v>477</v>
      </c>
      <c r="M9" s="6" t="s">
        <v>304</v>
      </c>
    </row>
    <row r="10" spans="2:13" x14ac:dyDescent="0.2">
      <c r="B10" s="8">
        <v>9</v>
      </c>
      <c r="C10" s="6">
        <v>316</v>
      </c>
      <c r="D10" s="6" t="s">
        <v>39</v>
      </c>
      <c r="E10" s="6" t="s">
        <v>218</v>
      </c>
      <c r="F10" s="20" t="s">
        <v>479</v>
      </c>
      <c r="G10" s="10">
        <v>28176</v>
      </c>
      <c r="H10" s="11">
        <f t="shared" ca="1" si="0"/>
        <v>45973</v>
      </c>
      <c r="I10" s="5">
        <f t="shared" ca="1" si="1"/>
        <v>48</v>
      </c>
      <c r="J10" s="5" t="s">
        <v>622</v>
      </c>
      <c r="K10" s="6" t="s">
        <v>184</v>
      </c>
      <c r="L10" s="11" t="s">
        <v>478</v>
      </c>
      <c r="M10" s="6" t="s">
        <v>317</v>
      </c>
    </row>
    <row r="11" spans="2:13" x14ac:dyDescent="0.2">
      <c r="B11" s="8">
        <v>10</v>
      </c>
      <c r="C11" s="6">
        <v>2013</v>
      </c>
      <c r="D11" s="6" t="s">
        <v>95</v>
      </c>
      <c r="E11" s="6" t="s">
        <v>318</v>
      </c>
      <c r="F11" s="21" t="s">
        <v>480</v>
      </c>
      <c r="G11" s="10">
        <v>29541</v>
      </c>
      <c r="H11" s="11">
        <f t="shared" ca="1" si="0"/>
        <v>45973</v>
      </c>
      <c r="I11" s="5">
        <f t="shared" ca="1" si="1"/>
        <v>44</v>
      </c>
      <c r="J11" s="5" t="s">
        <v>622</v>
      </c>
      <c r="K11" s="6" t="s">
        <v>325</v>
      </c>
      <c r="L11" s="11" t="s">
        <v>481</v>
      </c>
      <c r="M11" s="6" t="s">
        <v>251</v>
      </c>
    </row>
    <row r="12" spans="2:13" x14ac:dyDescent="0.2">
      <c r="B12" s="8">
        <v>11</v>
      </c>
      <c r="C12" s="6">
        <v>648</v>
      </c>
      <c r="D12" s="6" t="s">
        <v>86</v>
      </c>
      <c r="E12" s="6" t="s">
        <v>319</v>
      </c>
      <c r="F12" s="20">
        <v>32137</v>
      </c>
      <c r="G12" s="10">
        <v>32137</v>
      </c>
      <c r="H12" s="11">
        <f t="shared" ca="1" si="0"/>
        <v>45973</v>
      </c>
      <c r="I12" s="5">
        <f t="shared" ca="1" si="1"/>
        <v>37</v>
      </c>
      <c r="J12" s="5" t="s">
        <v>622</v>
      </c>
      <c r="K12" s="6" t="s">
        <v>174</v>
      </c>
      <c r="L12" s="11" t="s">
        <v>475</v>
      </c>
      <c r="M12" s="6" t="s">
        <v>259</v>
      </c>
    </row>
    <row r="13" spans="2:13" x14ac:dyDescent="0.2">
      <c r="B13" s="8">
        <v>12</v>
      </c>
      <c r="C13" s="6">
        <v>330</v>
      </c>
      <c r="D13" s="6" t="s">
        <v>41</v>
      </c>
      <c r="E13" s="6" t="s">
        <v>282</v>
      </c>
      <c r="F13" s="21" t="s">
        <v>482</v>
      </c>
      <c r="G13" s="10">
        <v>36727</v>
      </c>
      <c r="H13" s="11">
        <f t="shared" ref="H13:H20" ca="1" si="2">TODAY()</f>
        <v>45973</v>
      </c>
      <c r="I13" s="5">
        <f t="shared" ref="I13:I20" ca="1" si="3">DATEDIF(G13, H13, "Y")</f>
        <v>25</v>
      </c>
      <c r="J13" s="5" t="s">
        <v>625</v>
      </c>
      <c r="K13" s="6" t="s">
        <v>283</v>
      </c>
      <c r="L13" s="11" t="s">
        <v>483</v>
      </c>
      <c r="M13" s="6" t="s">
        <v>326</v>
      </c>
    </row>
    <row r="14" spans="2:13" x14ac:dyDescent="0.2">
      <c r="B14" s="8">
        <v>13</v>
      </c>
      <c r="C14" s="6">
        <v>2058</v>
      </c>
      <c r="D14" s="6" t="s">
        <v>110</v>
      </c>
      <c r="E14" s="6" t="s">
        <v>228</v>
      </c>
      <c r="F14" s="20">
        <v>28770</v>
      </c>
      <c r="G14" s="10">
        <v>28770</v>
      </c>
      <c r="H14" s="11">
        <f t="shared" ca="1" si="2"/>
        <v>45973</v>
      </c>
      <c r="I14" s="5">
        <f t="shared" ca="1" si="3"/>
        <v>47</v>
      </c>
      <c r="J14" s="5" t="s">
        <v>623</v>
      </c>
      <c r="K14" s="6" t="s">
        <v>225</v>
      </c>
      <c r="L14" s="11" t="s">
        <v>484</v>
      </c>
      <c r="M14" s="6" t="s">
        <v>327</v>
      </c>
    </row>
    <row r="15" spans="2:13" x14ac:dyDescent="0.2">
      <c r="B15" s="8">
        <v>14</v>
      </c>
      <c r="C15" s="6">
        <v>37</v>
      </c>
      <c r="D15" s="6" t="s">
        <v>19</v>
      </c>
      <c r="E15" s="6" t="s">
        <v>229</v>
      </c>
      <c r="F15" s="20">
        <v>31406</v>
      </c>
      <c r="G15" s="10">
        <v>31406</v>
      </c>
      <c r="H15" s="11">
        <f t="shared" ca="1" si="2"/>
        <v>45973</v>
      </c>
      <c r="I15" s="5">
        <f t="shared" ca="1" si="3"/>
        <v>39</v>
      </c>
      <c r="J15" s="5" t="s">
        <v>623</v>
      </c>
      <c r="K15" s="6" t="s">
        <v>231</v>
      </c>
      <c r="L15" s="11" t="s">
        <v>484</v>
      </c>
      <c r="M15" s="6" t="s">
        <v>327</v>
      </c>
    </row>
    <row r="16" spans="2:13" x14ac:dyDescent="0.2">
      <c r="B16" s="8">
        <v>15</v>
      </c>
      <c r="C16" s="6">
        <v>27</v>
      </c>
      <c r="D16" s="6" t="s">
        <v>13</v>
      </c>
      <c r="E16" s="6" t="s">
        <v>328</v>
      </c>
      <c r="F16" s="20">
        <v>33640</v>
      </c>
      <c r="G16" s="10">
        <v>33640</v>
      </c>
      <c r="H16" s="11">
        <f t="shared" ca="1" si="2"/>
        <v>45973</v>
      </c>
      <c r="I16" s="5">
        <f t="shared" ca="1" si="3"/>
        <v>33</v>
      </c>
      <c r="J16" s="5" t="s">
        <v>625</v>
      </c>
      <c r="K16" s="6" t="s">
        <v>183</v>
      </c>
      <c r="L16" s="11" t="s">
        <v>483</v>
      </c>
      <c r="M16" s="6" t="s">
        <v>327</v>
      </c>
    </row>
    <row r="17" spans="2:13" x14ac:dyDescent="0.2">
      <c r="B17" s="8">
        <v>16</v>
      </c>
      <c r="C17" s="6">
        <v>401</v>
      </c>
      <c r="D17" s="6" t="s">
        <v>154</v>
      </c>
      <c r="E17" s="6" t="s">
        <v>294</v>
      </c>
      <c r="F17" s="21" t="s">
        <v>485</v>
      </c>
      <c r="G17" s="10">
        <v>33318</v>
      </c>
      <c r="H17" s="11">
        <f t="shared" ca="1" si="2"/>
        <v>45973</v>
      </c>
      <c r="I17" s="5">
        <f t="shared" ca="1" si="3"/>
        <v>34</v>
      </c>
      <c r="J17" s="5" t="s">
        <v>623</v>
      </c>
      <c r="K17" s="6" t="s">
        <v>225</v>
      </c>
      <c r="L17" s="11" t="s">
        <v>486</v>
      </c>
      <c r="M17" s="6" t="s">
        <v>327</v>
      </c>
    </row>
    <row r="18" spans="2:13" x14ac:dyDescent="0.2">
      <c r="B18" s="8">
        <v>17</v>
      </c>
      <c r="C18" s="6">
        <v>114</v>
      </c>
      <c r="D18" s="6" t="s">
        <v>31</v>
      </c>
      <c r="E18" s="6" t="s">
        <v>329</v>
      </c>
      <c r="F18" s="20">
        <v>32664</v>
      </c>
      <c r="G18" s="10">
        <v>32664</v>
      </c>
      <c r="H18" s="11">
        <f t="shared" ca="1" si="2"/>
        <v>45973</v>
      </c>
      <c r="I18" s="5">
        <f t="shared" ca="1" si="3"/>
        <v>36</v>
      </c>
      <c r="J18" s="5" t="s">
        <v>623</v>
      </c>
      <c r="K18" s="6" t="s">
        <v>255</v>
      </c>
      <c r="L18" s="11" t="s">
        <v>487</v>
      </c>
      <c r="M18" s="6" t="s">
        <v>259</v>
      </c>
    </row>
    <row r="19" spans="2:13" x14ac:dyDescent="0.2">
      <c r="B19" s="8">
        <v>18</v>
      </c>
      <c r="C19" s="6">
        <v>2248</v>
      </c>
      <c r="D19" s="6" t="s">
        <v>137</v>
      </c>
      <c r="E19" s="6" t="s">
        <v>330</v>
      </c>
      <c r="F19" s="20">
        <v>35217</v>
      </c>
      <c r="G19" s="10">
        <v>35217</v>
      </c>
      <c r="H19" s="11">
        <f t="shared" ca="1" si="2"/>
        <v>45973</v>
      </c>
      <c r="I19" s="5">
        <f t="shared" ca="1" si="3"/>
        <v>29</v>
      </c>
      <c r="J19" s="5" t="s">
        <v>622</v>
      </c>
      <c r="K19" s="6" t="s">
        <v>227</v>
      </c>
      <c r="L19" s="11" t="s">
        <v>475</v>
      </c>
      <c r="M19" s="6" t="s">
        <v>259</v>
      </c>
    </row>
    <row r="20" spans="2:13" x14ac:dyDescent="0.2">
      <c r="B20" s="8">
        <v>19</v>
      </c>
      <c r="C20" s="6">
        <v>395</v>
      </c>
      <c r="D20" s="6" t="s">
        <v>652</v>
      </c>
      <c r="E20" s="6" t="s">
        <v>653</v>
      </c>
      <c r="F20" s="20" t="s">
        <v>654</v>
      </c>
      <c r="G20" s="10">
        <v>36485</v>
      </c>
      <c r="H20" s="11">
        <f t="shared" ca="1" si="2"/>
        <v>45973</v>
      </c>
      <c r="I20" s="5">
        <f t="shared" ca="1" si="3"/>
        <v>25</v>
      </c>
      <c r="J20" s="5" t="s">
        <v>623</v>
      </c>
      <c r="K20" s="6" t="s">
        <v>188</v>
      </c>
      <c r="L20" s="11" t="s">
        <v>648</v>
      </c>
      <c r="M20" s="6" t="s">
        <v>333</v>
      </c>
    </row>
    <row r="21" spans="2:13" x14ac:dyDescent="0.2">
      <c r="B21" s="8">
        <v>20</v>
      </c>
      <c r="C21" s="6">
        <v>2004</v>
      </c>
      <c r="D21" s="6" t="s">
        <v>90</v>
      </c>
      <c r="E21" s="6" t="s">
        <v>331</v>
      </c>
      <c r="F21" s="20">
        <v>24493</v>
      </c>
      <c r="G21" s="10">
        <v>24493</v>
      </c>
      <c r="H21" s="11">
        <f ca="1">TODAY()</f>
        <v>45973</v>
      </c>
      <c r="I21" s="5">
        <f t="shared" ref="I21:I41" ca="1" si="4">DATEDIF(G21, H21, "Y")</f>
        <v>58</v>
      </c>
      <c r="J21" s="5" t="s">
        <v>622</v>
      </c>
      <c r="K21" s="6" t="s">
        <v>233</v>
      </c>
      <c r="L21" s="11" t="s">
        <v>483</v>
      </c>
      <c r="M21" s="6" t="s">
        <v>327</v>
      </c>
    </row>
    <row r="22" spans="2:13" x14ac:dyDescent="0.2">
      <c r="B22" s="8">
        <v>21</v>
      </c>
      <c r="C22" s="6">
        <v>119</v>
      </c>
      <c r="D22" s="6" t="s">
        <v>34</v>
      </c>
      <c r="E22" s="6" t="s">
        <v>332</v>
      </c>
      <c r="F22" s="20">
        <v>24469</v>
      </c>
      <c r="G22" s="10">
        <v>24469</v>
      </c>
      <c r="H22" s="11">
        <f ca="1">TODAY()</f>
        <v>45973</v>
      </c>
      <c r="I22" s="5">
        <f t="shared" ca="1" si="4"/>
        <v>58</v>
      </c>
      <c r="J22" s="5" t="s">
        <v>622</v>
      </c>
      <c r="K22" s="6" t="s">
        <v>194</v>
      </c>
      <c r="L22" s="11" t="s">
        <v>474</v>
      </c>
      <c r="M22" s="6" t="s">
        <v>267</v>
      </c>
    </row>
    <row r="23" spans="2:13" x14ac:dyDescent="0.2">
      <c r="B23" s="8">
        <v>22</v>
      </c>
      <c r="C23" s="6">
        <v>2009</v>
      </c>
      <c r="D23" s="6" t="s">
        <v>93</v>
      </c>
      <c r="E23" s="6" t="s">
        <v>637</v>
      </c>
      <c r="F23" s="20" t="s">
        <v>642</v>
      </c>
      <c r="G23" s="10">
        <v>21829</v>
      </c>
      <c r="H23" s="11">
        <f ca="1">TODAY()</f>
        <v>45973</v>
      </c>
      <c r="I23" s="5">
        <f t="shared" ca="1" si="4"/>
        <v>66</v>
      </c>
      <c r="J23" s="5" t="s">
        <v>623</v>
      </c>
      <c r="K23" s="6" t="s">
        <v>174</v>
      </c>
      <c r="L23" s="11" t="s">
        <v>488</v>
      </c>
      <c r="M23" s="6" t="s">
        <v>281</v>
      </c>
    </row>
    <row r="24" spans="2:13" x14ac:dyDescent="0.2">
      <c r="B24" s="8">
        <v>23</v>
      </c>
      <c r="C24" s="6">
        <v>422</v>
      </c>
      <c r="D24" s="6" t="s">
        <v>66</v>
      </c>
      <c r="E24" s="6" t="s">
        <v>253</v>
      </c>
      <c r="F24" s="20">
        <v>22313</v>
      </c>
      <c r="G24" s="10">
        <v>22313</v>
      </c>
      <c r="H24" s="11">
        <f t="shared" ref="H24:H41" ca="1" si="5">TODAY()</f>
        <v>45973</v>
      </c>
      <c r="I24" s="5">
        <f t="shared" ca="1" si="4"/>
        <v>64</v>
      </c>
      <c r="J24" s="5" t="s">
        <v>625</v>
      </c>
      <c r="K24" s="6" t="s">
        <v>194</v>
      </c>
      <c r="L24" s="11" t="s">
        <v>489</v>
      </c>
      <c r="M24" s="6" t="s">
        <v>334</v>
      </c>
    </row>
    <row r="25" spans="2:13" x14ac:dyDescent="0.2">
      <c r="B25" s="8">
        <v>24</v>
      </c>
      <c r="C25" s="6">
        <v>48</v>
      </c>
      <c r="D25" s="6" t="s">
        <v>23</v>
      </c>
      <c r="E25" s="6" t="s">
        <v>335</v>
      </c>
      <c r="F25" s="20">
        <v>26106</v>
      </c>
      <c r="G25" s="10">
        <v>26106</v>
      </c>
      <c r="H25" s="11">
        <f t="shared" ca="1" si="5"/>
        <v>45973</v>
      </c>
      <c r="I25" s="5">
        <f t="shared" ca="1" si="4"/>
        <v>54</v>
      </c>
      <c r="J25" s="5" t="s">
        <v>622</v>
      </c>
      <c r="K25" s="6" t="s">
        <v>174</v>
      </c>
      <c r="L25" s="11" t="s">
        <v>490</v>
      </c>
      <c r="M25" s="6" t="s">
        <v>267</v>
      </c>
    </row>
    <row r="26" spans="2:13" x14ac:dyDescent="0.2">
      <c r="B26" s="8">
        <v>25</v>
      </c>
      <c r="C26" s="6">
        <v>459</v>
      </c>
      <c r="D26" s="6" t="s">
        <v>75</v>
      </c>
      <c r="E26" s="6" t="s">
        <v>264</v>
      </c>
      <c r="F26" s="20">
        <v>26448</v>
      </c>
      <c r="G26" s="10">
        <v>26448</v>
      </c>
      <c r="H26" s="11">
        <f t="shared" ca="1" si="5"/>
        <v>45973</v>
      </c>
      <c r="I26" s="5">
        <f t="shared" ca="1" si="4"/>
        <v>53</v>
      </c>
      <c r="J26" s="5" t="s">
        <v>630</v>
      </c>
      <c r="K26" s="6" t="s">
        <v>197</v>
      </c>
      <c r="L26" s="11" t="s">
        <v>491</v>
      </c>
      <c r="M26" s="6" t="s">
        <v>266</v>
      </c>
    </row>
    <row r="27" spans="2:13" x14ac:dyDescent="0.2">
      <c r="B27" s="8">
        <v>26</v>
      </c>
      <c r="C27" s="6">
        <v>34</v>
      </c>
      <c r="D27" s="6" t="s">
        <v>150</v>
      </c>
      <c r="E27" s="6" t="s">
        <v>336</v>
      </c>
      <c r="F27" s="21" t="s">
        <v>494</v>
      </c>
      <c r="G27" s="10">
        <v>27134</v>
      </c>
      <c r="H27" s="11">
        <f t="shared" ca="1" si="5"/>
        <v>45973</v>
      </c>
      <c r="I27" s="5">
        <f t="shared" ca="1" si="4"/>
        <v>51</v>
      </c>
      <c r="J27" s="5" t="s">
        <v>622</v>
      </c>
      <c r="K27" s="6" t="s">
        <v>255</v>
      </c>
      <c r="L27" s="11" t="s">
        <v>460</v>
      </c>
      <c r="M27" s="6" t="s">
        <v>334</v>
      </c>
    </row>
    <row r="28" spans="2:13" x14ac:dyDescent="0.2">
      <c r="B28" s="8">
        <v>27</v>
      </c>
      <c r="C28" s="6">
        <v>2214</v>
      </c>
      <c r="D28" s="1" t="s">
        <v>698</v>
      </c>
      <c r="E28" s="6" t="s">
        <v>699</v>
      </c>
      <c r="F28" s="13" t="s">
        <v>700</v>
      </c>
      <c r="G28" s="10">
        <v>22967</v>
      </c>
      <c r="H28" s="11">
        <f t="shared" ca="1" si="5"/>
        <v>45973</v>
      </c>
      <c r="I28" s="5">
        <f t="shared" ca="1" si="4"/>
        <v>62</v>
      </c>
      <c r="J28" s="4" t="s">
        <v>625</v>
      </c>
      <c r="K28" s="6" t="s">
        <v>701</v>
      </c>
      <c r="L28" s="13" t="s">
        <v>696</v>
      </c>
      <c r="M28" s="6" t="s">
        <v>702</v>
      </c>
    </row>
    <row r="29" spans="2:13" x14ac:dyDescent="0.2">
      <c r="B29" s="8">
        <v>28</v>
      </c>
      <c r="C29" s="6">
        <v>1167</v>
      </c>
      <c r="D29" s="6" t="s">
        <v>87</v>
      </c>
      <c r="E29" s="6" t="s">
        <v>338</v>
      </c>
      <c r="F29" s="20">
        <v>30120</v>
      </c>
      <c r="G29" s="10">
        <v>30120</v>
      </c>
      <c r="H29" s="11">
        <f t="shared" ca="1" si="5"/>
        <v>45973</v>
      </c>
      <c r="I29" s="5">
        <f t="shared" ca="1" si="4"/>
        <v>43</v>
      </c>
      <c r="J29" s="5" t="s">
        <v>622</v>
      </c>
      <c r="K29" s="6" t="s">
        <v>227</v>
      </c>
      <c r="L29" s="11" t="s">
        <v>493</v>
      </c>
      <c r="M29" s="6" t="s">
        <v>244</v>
      </c>
    </row>
    <row r="30" spans="2:13" x14ac:dyDescent="0.2">
      <c r="B30" s="8">
        <v>29</v>
      </c>
      <c r="C30" s="6">
        <v>321</v>
      </c>
      <c r="D30" s="6" t="s">
        <v>40</v>
      </c>
      <c r="E30" s="6" t="s">
        <v>254</v>
      </c>
      <c r="F30" s="20">
        <v>30508</v>
      </c>
      <c r="G30" s="10">
        <v>30508</v>
      </c>
      <c r="H30" s="11">
        <f t="shared" ca="1" si="5"/>
        <v>45973</v>
      </c>
      <c r="I30" s="5">
        <f t="shared" ca="1" si="4"/>
        <v>42</v>
      </c>
      <c r="J30" s="5" t="s">
        <v>622</v>
      </c>
      <c r="K30" s="6" t="s">
        <v>215</v>
      </c>
      <c r="L30" s="11" t="s">
        <v>495</v>
      </c>
      <c r="M30" s="6" t="s">
        <v>334</v>
      </c>
    </row>
    <row r="31" spans="2:13" x14ac:dyDescent="0.2">
      <c r="B31" s="8">
        <v>30</v>
      </c>
      <c r="C31" s="6">
        <v>56</v>
      </c>
      <c r="D31" s="6" t="s">
        <v>302</v>
      </c>
      <c r="E31" s="6" t="s">
        <v>307</v>
      </c>
      <c r="F31" s="21" t="s">
        <v>496</v>
      </c>
      <c r="G31" s="10">
        <v>30894</v>
      </c>
      <c r="H31" s="11">
        <f t="shared" ca="1" si="5"/>
        <v>45973</v>
      </c>
      <c r="I31" s="5">
        <f t="shared" ca="1" si="4"/>
        <v>41</v>
      </c>
      <c r="J31" s="5"/>
      <c r="K31" s="6" t="s">
        <v>252</v>
      </c>
      <c r="L31" s="11" t="s">
        <v>497</v>
      </c>
      <c r="M31" s="6" t="s">
        <v>339</v>
      </c>
    </row>
    <row r="32" spans="2:13" x14ac:dyDescent="0.2">
      <c r="B32" s="8">
        <v>31</v>
      </c>
      <c r="C32" s="6">
        <v>69</v>
      </c>
      <c r="D32" s="6" t="s">
        <v>163</v>
      </c>
      <c r="E32" s="6" t="s">
        <v>164</v>
      </c>
      <c r="F32" s="21" t="s">
        <v>498</v>
      </c>
      <c r="G32" s="10">
        <v>31491</v>
      </c>
      <c r="H32" s="11">
        <f t="shared" ca="1" si="5"/>
        <v>45973</v>
      </c>
      <c r="I32" s="5">
        <f t="shared" ca="1" si="4"/>
        <v>39</v>
      </c>
      <c r="J32" s="5" t="s">
        <v>622</v>
      </c>
      <c r="K32" s="6" t="s">
        <v>166</v>
      </c>
      <c r="L32" s="11" t="s">
        <v>499</v>
      </c>
      <c r="M32" s="6" t="s">
        <v>339</v>
      </c>
    </row>
    <row r="33" spans="2:13" x14ac:dyDescent="0.2">
      <c r="B33" s="8">
        <v>32</v>
      </c>
      <c r="C33" s="6">
        <v>2018</v>
      </c>
      <c r="D33" s="6" t="s">
        <v>100</v>
      </c>
      <c r="E33" s="6" t="s">
        <v>340</v>
      </c>
      <c r="F33" s="20">
        <v>31547</v>
      </c>
      <c r="G33" s="10">
        <v>31547</v>
      </c>
      <c r="H33" s="11">
        <f t="shared" ca="1" si="5"/>
        <v>45973</v>
      </c>
      <c r="I33" s="5">
        <f t="shared" ca="1" si="4"/>
        <v>39</v>
      </c>
      <c r="J33" s="5" t="s">
        <v>622</v>
      </c>
      <c r="K33" s="6" t="s">
        <v>447</v>
      </c>
      <c r="L33" s="11" t="s">
        <v>500</v>
      </c>
      <c r="M33" s="6" t="s">
        <v>339</v>
      </c>
    </row>
    <row r="34" spans="2:13" x14ac:dyDescent="0.2">
      <c r="B34" s="8">
        <v>33</v>
      </c>
      <c r="C34" s="6">
        <v>408</v>
      </c>
      <c r="D34" s="6" t="s">
        <v>168</v>
      </c>
      <c r="E34" s="6" t="s">
        <v>169</v>
      </c>
      <c r="F34" s="21" t="s">
        <v>501</v>
      </c>
      <c r="G34" s="10">
        <v>31688</v>
      </c>
      <c r="H34" s="11">
        <f t="shared" ca="1" si="5"/>
        <v>45973</v>
      </c>
      <c r="I34" s="5">
        <f t="shared" ca="1" si="4"/>
        <v>39</v>
      </c>
      <c r="J34" s="5" t="s">
        <v>623</v>
      </c>
      <c r="K34" s="6" t="s">
        <v>170</v>
      </c>
      <c r="L34" s="11" t="s">
        <v>502</v>
      </c>
      <c r="M34" s="6" t="s">
        <v>339</v>
      </c>
    </row>
    <row r="35" spans="2:13" x14ac:dyDescent="0.2">
      <c r="B35" s="8">
        <v>34</v>
      </c>
      <c r="C35" s="6">
        <v>2217</v>
      </c>
      <c r="D35" s="6" t="s">
        <v>158</v>
      </c>
      <c r="E35" s="6" t="s">
        <v>290</v>
      </c>
      <c r="F35" s="21" t="s">
        <v>503</v>
      </c>
      <c r="G35" s="10">
        <v>31775</v>
      </c>
      <c r="H35" s="11">
        <f t="shared" ca="1" si="5"/>
        <v>45973</v>
      </c>
      <c r="I35" s="5">
        <f t="shared" ca="1" si="4"/>
        <v>38</v>
      </c>
      <c r="J35" s="5" t="s">
        <v>622</v>
      </c>
      <c r="K35" s="6" t="s">
        <v>232</v>
      </c>
      <c r="L35" s="11" t="s">
        <v>504</v>
      </c>
      <c r="M35" s="6" t="s">
        <v>339</v>
      </c>
    </row>
    <row r="36" spans="2:13" x14ac:dyDescent="0.2">
      <c r="B36" s="8">
        <v>35</v>
      </c>
      <c r="C36" s="6">
        <v>83</v>
      </c>
      <c r="D36" s="6" t="s">
        <v>28</v>
      </c>
      <c r="E36" s="6" t="s">
        <v>341</v>
      </c>
      <c r="F36" s="20" t="s">
        <v>505</v>
      </c>
      <c r="G36" s="10">
        <v>31933</v>
      </c>
      <c r="H36" s="11">
        <f t="shared" ca="1" si="5"/>
        <v>45973</v>
      </c>
      <c r="I36" s="5">
        <f t="shared" ca="1" si="4"/>
        <v>38</v>
      </c>
      <c r="J36" s="5" t="s">
        <v>622</v>
      </c>
      <c r="K36" s="6" t="s">
        <v>188</v>
      </c>
      <c r="L36" s="11" t="s">
        <v>506</v>
      </c>
      <c r="M36" s="6" t="s">
        <v>316</v>
      </c>
    </row>
    <row r="37" spans="2:13" x14ac:dyDescent="0.2">
      <c r="B37" s="8">
        <v>36</v>
      </c>
      <c r="C37" s="6">
        <v>23</v>
      </c>
      <c r="D37" s="6" t="s">
        <v>12</v>
      </c>
      <c r="E37" s="6" t="s">
        <v>202</v>
      </c>
      <c r="F37" s="20">
        <v>32072</v>
      </c>
      <c r="G37" s="10">
        <v>32072</v>
      </c>
      <c r="H37" s="11">
        <f t="shared" ca="1" si="5"/>
        <v>45973</v>
      </c>
      <c r="I37" s="5">
        <f t="shared" ca="1" si="4"/>
        <v>38</v>
      </c>
      <c r="J37" s="5" t="s">
        <v>623</v>
      </c>
      <c r="K37" s="6" t="s">
        <v>604</v>
      </c>
      <c r="L37" s="11" t="s">
        <v>507</v>
      </c>
      <c r="M37" s="6" t="s">
        <v>380</v>
      </c>
    </row>
    <row r="38" spans="2:13" x14ac:dyDescent="0.2">
      <c r="B38" s="8">
        <v>37</v>
      </c>
      <c r="C38" s="6">
        <v>2253</v>
      </c>
      <c r="D38" s="6" t="s">
        <v>157</v>
      </c>
      <c r="E38" s="6" t="s">
        <v>234</v>
      </c>
      <c r="F38" s="20">
        <v>32252</v>
      </c>
      <c r="G38" s="10">
        <v>32252</v>
      </c>
      <c r="H38" s="11">
        <f t="shared" ca="1" si="5"/>
        <v>45973</v>
      </c>
      <c r="I38" s="5">
        <f t="shared" ca="1" si="4"/>
        <v>37</v>
      </c>
      <c r="J38" s="5" t="s">
        <v>630</v>
      </c>
      <c r="K38" s="6" t="s">
        <v>235</v>
      </c>
      <c r="L38" s="11" t="s">
        <v>504</v>
      </c>
      <c r="M38" s="6" t="s">
        <v>339</v>
      </c>
    </row>
    <row r="39" spans="2:13" x14ac:dyDescent="0.2">
      <c r="B39" s="8">
        <v>38</v>
      </c>
      <c r="C39" s="6">
        <v>2241</v>
      </c>
      <c r="D39" s="6" t="s">
        <v>167</v>
      </c>
      <c r="E39" s="6" t="s">
        <v>309</v>
      </c>
      <c r="F39" s="21" t="s">
        <v>508</v>
      </c>
      <c r="G39" s="10">
        <v>33214</v>
      </c>
      <c r="H39" s="11">
        <f t="shared" ca="1" si="5"/>
        <v>45973</v>
      </c>
      <c r="I39" s="5">
        <f t="shared" ca="1" si="4"/>
        <v>34</v>
      </c>
      <c r="J39" s="5" t="s">
        <v>622</v>
      </c>
      <c r="K39" s="6" t="s">
        <v>296</v>
      </c>
      <c r="L39" s="11" t="s">
        <v>499</v>
      </c>
      <c r="M39" s="6" t="s">
        <v>339</v>
      </c>
    </row>
    <row r="40" spans="2:13" x14ac:dyDescent="0.2">
      <c r="B40" s="8">
        <v>39</v>
      </c>
      <c r="C40" s="6">
        <v>449</v>
      </c>
      <c r="D40" s="6" t="s">
        <v>72</v>
      </c>
      <c r="E40" s="6" t="s">
        <v>182</v>
      </c>
      <c r="F40" s="20">
        <v>33594</v>
      </c>
      <c r="G40" s="10">
        <v>33594</v>
      </c>
      <c r="H40" s="11">
        <f t="shared" ca="1" si="5"/>
        <v>45973</v>
      </c>
      <c r="I40" s="5">
        <f t="shared" ca="1" si="4"/>
        <v>33</v>
      </c>
      <c r="J40" s="5" t="s">
        <v>625</v>
      </c>
      <c r="K40" s="6" t="s">
        <v>162</v>
      </c>
      <c r="L40" s="11" t="s">
        <v>509</v>
      </c>
      <c r="M40" s="6" t="s">
        <v>342</v>
      </c>
    </row>
    <row r="41" spans="2:13" x14ac:dyDescent="0.2">
      <c r="B41" s="8">
        <v>40</v>
      </c>
      <c r="C41" s="6">
        <v>2014</v>
      </c>
      <c r="D41" s="6" t="s">
        <v>96</v>
      </c>
      <c r="E41" s="6" t="s">
        <v>189</v>
      </c>
      <c r="F41" s="20">
        <v>33040</v>
      </c>
      <c r="G41" s="10">
        <v>33040</v>
      </c>
      <c r="H41" s="11">
        <f t="shared" ca="1" si="5"/>
        <v>45973</v>
      </c>
      <c r="I41" s="5">
        <f t="shared" ca="1" si="4"/>
        <v>35</v>
      </c>
      <c r="J41" s="5" t="s">
        <v>622</v>
      </c>
      <c r="K41" s="6" t="s">
        <v>188</v>
      </c>
      <c r="L41" s="11" t="s">
        <v>510</v>
      </c>
      <c r="M41" s="6" t="s">
        <v>333</v>
      </c>
    </row>
    <row r="42" spans="2:13" x14ac:dyDescent="0.2">
      <c r="B42" s="8">
        <v>41</v>
      </c>
      <c r="C42" s="6">
        <v>182</v>
      </c>
      <c r="D42" s="6" t="s">
        <v>36</v>
      </c>
      <c r="E42" s="6" t="s">
        <v>343</v>
      </c>
      <c r="F42" s="20">
        <v>33567</v>
      </c>
      <c r="G42" s="10">
        <v>33567</v>
      </c>
      <c r="H42" s="11">
        <f t="shared" ref="H42:H46" ca="1" si="6">TODAY()</f>
        <v>45973</v>
      </c>
      <c r="I42" s="5">
        <f t="shared" ref="I42:I46" ca="1" si="7">DATEDIF(G42, H42, "Y")</f>
        <v>33</v>
      </c>
      <c r="J42" s="5" t="s">
        <v>622</v>
      </c>
      <c r="K42" s="6"/>
      <c r="L42" s="11" t="s">
        <v>512</v>
      </c>
      <c r="M42" s="6" t="s">
        <v>344</v>
      </c>
    </row>
    <row r="43" spans="2:13" x14ac:dyDescent="0.2">
      <c r="B43" s="8">
        <v>42</v>
      </c>
      <c r="C43" s="6">
        <v>371</v>
      </c>
      <c r="D43" s="6" t="s">
        <v>147</v>
      </c>
      <c r="E43" s="6" t="s">
        <v>237</v>
      </c>
      <c r="F43" s="21" t="s">
        <v>513</v>
      </c>
      <c r="G43" s="10">
        <v>30286</v>
      </c>
      <c r="H43" s="11">
        <f t="shared" ca="1" si="6"/>
        <v>45973</v>
      </c>
      <c r="I43" s="5">
        <f t="shared" ca="1" si="7"/>
        <v>42</v>
      </c>
      <c r="J43" s="5" t="s">
        <v>622</v>
      </c>
      <c r="K43" s="6" t="s">
        <v>321</v>
      </c>
      <c r="L43" s="11" t="s">
        <v>462</v>
      </c>
      <c r="M43" s="6" t="s">
        <v>344</v>
      </c>
    </row>
    <row r="44" spans="2:13" x14ac:dyDescent="0.2">
      <c r="B44" s="8">
        <v>43</v>
      </c>
      <c r="C44" s="6">
        <v>462</v>
      </c>
      <c r="D44" s="6" t="s">
        <v>291</v>
      </c>
      <c r="E44" s="6" t="s">
        <v>292</v>
      </c>
      <c r="F44" s="21" t="s">
        <v>514</v>
      </c>
      <c r="G44" s="10">
        <v>35233</v>
      </c>
      <c r="H44" s="11">
        <f t="shared" ca="1" si="6"/>
        <v>45973</v>
      </c>
      <c r="I44" s="5">
        <f t="shared" ca="1" si="7"/>
        <v>29</v>
      </c>
      <c r="J44" s="5" t="s">
        <v>622</v>
      </c>
      <c r="K44" s="6" t="s">
        <v>162</v>
      </c>
      <c r="L44" s="11" t="s">
        <v>515</v>
      </c>
      <c r="M44" s="6" t="s">
        <v>339</v>
      </c>
    </row>
    <row r="45" spans="2:13" x14ac:dyDescent="0.2">
      <c r="B45" s="8">
        <v>44</v>
      </c>
      <c r="C45" s="6">
        <v>2028</v>
      </c>
      <c r="D45" s="6" t="s">
        <v>662</v>
      </c>
      <c r="E45" s="6" t="s">
        <v>663</v>
      </c>
      <c r="F45" s="20" t="s">
        <v>664</v>
      </c>
      <c r="G45" s="10">
        <v>30340</v>
      </c>
      <c r="H45" s="11">
        <f t="shared" ca="1" si="6"/>
        <v>45973</v>
      </c>
      <c r="I45" s="5">
        <f t="shared" ca="1" si="7"/>
        <v>42</v>
      </c>
      <c r="J45" s="5" t="s">
        <v>622</v>
      </c>
      <c r="K45" s="6" t="s">
        <v>194</v>
      </c>
      <c r="L45" s="11" t="s">
        <v>658</v>
      </c>
      <c r="M45" s="6" t="s">
        <v>334</v>
      </c>
    </row>
    <row r="46" spans="2:13" x14ac:dyDescent="0.2">
      <c r="B46" s="8">
        <v>45</v>
      </c>
      <c r="C46" s="6">
        <v>469</v>
      </c>
      <c r="D46" s="6" t="s">
        <v>711</v>
      </c>
      <c r="E46" s="6" t="s">
        <v>712</v>
      </c>
      <c r="F46" s="20" t="s">
        <v>713</v>
      </c>
      <c r="G46" s="11">
        <v>30658</v>
      </c>
      <c r="H46" s="11">
        <f t="shared" ca="1" si="6"/>
        <v>45973</v>
      </c>
      <c r="I46" s="5">
        <f t="shared" ca="1" si="7"/>
        <v>41</v>
      </c>
      <c r="J46" s="5" t="s">
        <v>623</v>
      </c>
      <c r="K46" s="6" t="s">
        <v>205</v>
      </c>
      <c r="L46" s="11" t="s">
        <v>714</v>
      </c>
      <c r="M46" s="6" t="s">
        <v>715</v>
      </c>
    </row>
    <row r="47" spans="2:13" x14ac:dyDescent="0.2">
      <c r="B47" s="8">
        <v>46</v>
      </c>
      <c r="C47" s="6">
        <v>522</v>
      </c>
      <c r="D47" s="6" t="s">
        <v>159</v>
      </c>
      <c r="E47" s="6" t="s">
        <v>160</v>
      </c>
      <c r="F47" s="21" t="s">
        <v>517</v>
      </c>
      <c r="G47" s="10">
        <v>37517</v>
      </c>
      <c r="H47" s="11">
        <f t="shared" ref="H47:H57" ca="1" si="8">TODAY()</f>
        <v>45973</v>
      </c>
      <c r="I47" s="5">
        <f t="shared" ref="I47:I57" ca="1" si="9">DATEDIF(G47, H47, "Y")</f>
        <v>23</v>
      </c>
      <c r="J47" s="5" t="s">
        <v>622</v>
      </c>
      <c r="K47" s="6" t="s">
        <v>162</v>
      </c>
      <c r="L47" s="11" t="s">
        <v>499</v>
      </c>
      <c r="M47" s="6" t="s">
        <v>339</v>
      </c>
    </row>
    <row r="48" spans="2:13" x14ac:dyDescent="0.2">
      <c r="B48" s="8">
        <v>47</v>
      </c>
      <c r="C48" s="6">
        <v>2240</v>
      </c>
      <c r="D48" s="6" t="s">
        <v>134</v>
      </c>
      <c r="E48" s="6" t="s">
        <v>345</v>
      </c>
      <c r="F48" s="20">
        <v>26860</v>
      </c>
      <c r="G48" s="10">
        <v>26860</v>
      </c>
      <c r="H48" s="11">
        <f t="shared" ca="1" si="8"/>
        <v>45973</v>
      </c>
      <c r="I48" s="5">
        <f t="shared" ca="1" si="9"/>
        <v>52</v>
      </c>
      <c r="J48" s="5" t="s">
        <v>624</v>
      </c>
      <c r="K48" s="6" t="s">
        <v>194</v>
      </c>
      <c r="L48" s="11" t="s">
        <v>518</v>
      </c>
      <c r="M48" s="6" t="s">
        <v>287</v>
      </c>
    </row>
    <row r="49" spans="2:13" x14ac:dyDescent="0.2">
      <c r="B49" s="8">
        <v>48</v>
      </c>
      <c r="C49" s="6">
        <v>2236</v>
      </c>
      <c r="D49" s="6" t="s">
        <v>130</v>
      </c>
      <c r="E49" s="6" t="s">
        <v>260</v>
      </c>
      <c r="F49" s="20">
        <v>25526</v>
      </c>
      <c r="G49" s="10">
        <v>25526</v>
      </c>
      <c r="H49" s="11">
        <f t="shared" ca="1" si="8"/>
        <v>45973</v>
      </c>
      <c r="I49" s="5">
        <f t="shared" ca="1" si="9"/>
        <v>55</v>
      </c>
      <c r="J49" s="5" t="s">
        <v>622</v>
      </c>
      <c r="K49" s="6" t="s">
        <v>194</v>
      </c>
      <c r="L49" s="11" t="s">
        <v>519</v>
      </c>
      <c r="M49" s="6" t="s">
        <v>262</v>
      </c>
    </row>
    <row r="50" spans="2:13" x14ac:dyDescent="0.2">
      <c r="B50" s="8">
        <v>49</v>
      </c>
      <c r="C50" s="6">
        <v>474</v>
      </c>
      <c r="D50" s="6" t="s">
        <v>76</v>
      </c>
      <c r="E50" s="6" t="s">
        <v>263</v>
      </c>
      <c r="F50" s="20">
        <v>27932</v>
      </c>
      <c r="G50" s="10">
        <v>27932</v>
      </c>
      <c r="H50" s="11">
        <f t="shared" ca="1" si="8"/>
        <v>45973</v>
      </c>
      <c r="I50" s="5">
        <f t="shared" ca="1" si="9"/>
        <v>49</v>
      </c>
      <c r="J50" s="5" t="s">
        <v>625</v>
      </c>
      <c r="K50" s="6" t="s">
        <v>255</v>
      </c>
      <c r="L50" s="11" t="s">
        <v>520</v>
      </c>
      <c r="M50" s="6" t="s">
        <v>346</v>
      </c>
    </row>
    <row r="51" spans="2:13" x14ac:dyDescent="0.2">
      <c r="B51" s="8">
        <v>50</v>
      </c>
      <c r="C51" s="6">
        <v>44</v>
      </c>
      <c r="D51" s="6" t="s">
        <v>21</v>
      </c>
      <c r="E51" s="6" t="s">
        <v>347</v>
      </c>
      <c r="F51" s="20">
        <v>28934</v>
      </c>
      <c r="G51" s="10">
        <v>28934</v>
      </c>
      <c r="H51" s="11">
        <f t="shared" ca="1" si="8"/>
        <v>45973</v>
      </c>
      <c r="I51" s="5">
        <f t="shared" ca="1" si="9"/>
        <v>46</v>
      </c>
      <c r="J51" s="5" t="s">
        <v>622</v>
      </c>
      <c r="K51" s="6" t="s">
        <v>231</v>
      </c>
      <c r="L51" s="11" t="s">
        <v>521</v>
      </c>
      <c r="M51" s="6" t="s">
        <v>262</v>
      </c>
    </row>
    <row r="52" spans="2:13" x14ac:dyDescent="0.2">
      <c r="B52" s="8">
        <v>51</v>
      </c>
      <c r="C52" s="6">
        <v>358</v>
      </c>
      <c r="D52" s="6" t="s">
        <v>47</v>
      </c>
      <c r="E52" s="6" t="s">
        <v>348</v>
      </c>
      <c r="F52" s="20">
        <v>28955</v>
      </c>
      <c r="G52" s="10">
        <v>28955</v>
      </c>
      <c r="H52" s="11">
        <f t="shared" ca="1" si="8"/>
        <v>45973</v>
      </c>
      <c r="I52" s="5">
        <f t="shared" ca="1" si="9"/>
        <v>46</v>
      </c>
      <c r="J52" s="5" t="s">
        <v>623</v>
      </c>
      <c r="K52" s="6" t="s">
        <v>188</v>
      </c>
      <c r="L52" s="11" t="s">
        <v>474</v>
      </c>
      <c r="M52" s="6" t="s">
        <v>346</v>
      </c>
    </row>
    <row r="53" spans="2:13" x14ac:dyDescent="0.2">
      <c r="B53" s="8">
        <v>52</v>
      </c>
      <c r="C53" s="6">
        <v>411</v>
      </c>
      <c r="D53" s="6" t="s">
        <v>60</v>
      </c>
      <c r="E53" s="6" t="s">
        <v>349</v>
      </c>
      <c r="F53" s="20">
        <v>30224</v>
      </c>
      <c r="G53" s="10">
        <v>30224</v>
      </c>
      <c r="H53" s="11">
        <f t="shared" ca="1" si="8"/>
        <v>45973</v>
      </c>
      <c r="I53" s="5">
        <f t="shared" ca="1" si="9"/>
        <v>43</v>
      </c>
      <c r="J53" s="5" t="s">
        <v>622</v>
      </c>
      <c r="K53" s="6" t="s">
        <v>286</v>
      </c>
      <c r="L53" s="11" t="s">
        <v>522</v>
      </c>
      <c r="M53" s="6" t="s">
        <v>350</v>
      </c>
    </row>
    <row r="54" spans="2:13" x14ac:dyDescent="0.2">
      <c r="B54" s="8">
        <v>53</v>
      </c>
      <c r="C54" s="6">
        <v>2205</v>
      </c>
      <c r="D54" s="6" t="s">
        <v>115</v>
      </c>
      <c r="E54" s="6" t="s">
        <v>351</v>
      </c>
      <c r="F54" s="20">
        <v>25741</v>
      </c>
      <c r="G54" s="10">
        <v>25741</v>
      </c>
      <c r="H54" s="11">
        <f t="shared" ca="1" si="8"/>
        <v>45973</v>
      </c>
      <c r="I54" s="5">
        <f t="shared" ca="1" si="9"/>
        <v>55</v>
      </c>
      <c r="J54" s="5" t="s">
        <v>623</v>
      </c>
      <c r="K54" s="6" t="s">
        <v>255</v>
      </c>
      <c r="L54" s="11" t="s">
        <v>520</v>
      </c>
      <c r="M54" s="6" t="s">
        <v>262</v>
      </c>
    </row>
    <row r="55" spans="2:13" x14ac:dyDescent="0.2">
      <c r="B55" s="8">
        <v>54</v>
      </c>
      <c r="C55" s="6">
        <v>40</v>
      </c>
      <c r="D55" s="6" t="s">
        <v>300</v>
      </c>
      <c r="E55" s="6" t="s">
        <v>301</v>
      </c>
      <c r="F55" s="20" t="s">
        <v>523</v>
      </c>
      <c r="G55" s="10">
        <v>25974</v>
      </c>
      <c r="H55" s="11">
        <f t="shared" ca="1" si="8"/>
        <v>45973</v>
      </c>
      <c r="I55" s="5">
        <f t="shared" ca="1" si="9"/>
        <v>54</v>
      </c>
      <c r="J55" s="5" t="s">
        <v>622</v>
      </c>
      <c r="K55" s="6" t="s">
        <v>456</v>
      </c>
      <c r="L55" s="20">
        <v>45798</v>
      </c>
      <c r="M55" s="6" t="s">
        <v>689</v>
      </c>
    </row>
    <row r="56" spans="2:13" x14ac:dyDescent="0.2">
      <c r="B56" s="8">
        <v>55</v>
      </c>
      <c r="C56" s="6">
        <v>2203</v>
      </c>
      <c r="D56" s="6" t="s">
        <v>113</v>
      </c>
      <c r="E56" s="6" t="s">
        <v>352</v>
      </c>
      <c r="F56" s="20">
        <v>32754</v>
      </c>
      <c r="G56" s="10">
        <v>32754</v>
      </c>
      <c r="H56" s="11">
        <f t="shared" ca="1" si="8"/>
        <v>45973</v>
      </c>
      <c r="I56" s="5">
        <f t="shared" ca="1" si="9"/>
        <v>36</v>
      </c>
      <c r="J56" s="5" t="s">
        <v>623</v>
      </c>
      <c r="K56" s="6" t="s">
        <v>215</v>
      </c>
      <c r="L56" s="11" t="s">
        <v>524</v>
      </c>
      <c r="M56" s="6" t="s">
        <v>346</v>
      </c>
    </row>
    <row r="57" spans="2:13" x14ac:dyDescent="0.2">
      <c r="B57" s="8">
        <v>56</v>
      </c>
      <c r="C57" s="6">
        <v>2207</v>
      </c>
      <c r="D57" s="6" t="s">
        <v>117</v>
      </c>
      <c r="E57" s="6" t="s">
        <v>261</v>
      </c>
      <c r="F57" s="20">
        <v>32969</v>
      </c>
      <c r="G57" s="10">
        <v>32969</v>
      </c>
      <c r="H57" s="11">
        <f t="shared" ca="1" si="8"/>
        <v>45973</v>
      </c>
      <c r="I57" s="5">
        <f t="shared" ca="1" si="9"/>
        <v>35</v>
      </c>
      <c r="J57" s="5" t="s">
        <v>622</v>
      </c>
      <c r="K57" s="6" t="s">
        <v>225</v>
      </c>
      <c r="L57" s="11" t="s">
        <v>484</v>
      </c>
      <c r="M57" s="6" t="s">
        <v>236</v>
      </c>
    </row>
    <row r="58" spans="2:13" x14ac:dyDescent="0.2">
      <c r="B58" s="8">
        <v>57</v>
      </c>
      <c r="C58" s="6">
        <v>2223</v>
      </c>
      <c r="D58" s="6" t="s">
        <v>125</v>
      </c>
      <c r="E58" s="6" t="s">
        <v>353</v>
      </c>
      <c r="F58" s="20">
        <v>33975</v>
      </c>
      <c r="G58" s="10">
        <v>33975</v>
      </c>
      <c r="H58" s="11">
        <f t="shared" ref="H58:H63" ca="1" si="10">TODAY()</f>
        <v>45973</v>
      </c>
      <c r="I58" s="5">
        <f t="shared" ref="I58:I70" ca="1" si="11">DATEDIF(G58, H58, "Y")</f>
        <v>32</v>
      </c>
      <c r="J58" s="5" t="s">
        <v>622</v>
      </c>
      <c r="K58" s="6" t="s">
        <v>197</v>
      </c>
      <c r="L58" s="11" t="s">
        <v>525</v>
      </c>
      <c r="M58" s="6" t="s">
        <v>236</v>
      </c>
    </row>
    <row r="59" spans="2:13" x14ac:dyDescent="0.2">
      <c r="B59" s="8">
        <v>58</v>
      </c>
      <c r="C59" s="6">
        <v>313</v>
      </c>
      <c r="D59" s="6" t="s">
        <v>171</v>
      </c>
      <c r="E59" s="6" t="s">
        <v>172</v>
      </c>
      <c r="F59" s="21" t="s">
        <v>526</v>
      </c>
      <c r="G59" s="10">
        <v>34239</v>
      </c>
      <c r="H59" s="11">
        <f t="shared" ca="1" si="10"/>
        <v>45973</v>
      </c>
      <c r="I59" s="5">
        <f t="shared" ca="1" si="11"/>
        <v>32</v>
      </c>
      <c r="J59" s="5"/>
      <c r="K59" s="6" t="s">
        <v>170</v>
      </c>
      <c r="L59" s="11" t="s">
        <v>527</v>
      </c>
      <c r="M59" s="6" t="s">
        <v>236</v>
      </c>
    </row>
    <row r="60" spans="2:13" x14ac:dyDescent="0.2">
      <c r="B60" s="8">
        <v>59</v>
      </c>
      <c r="C60" s="6">
        <v>65</v>
      </c>
      <c r="D60" s="6" t="s">
        <v>295</v>
      </c>
      <c r="E60" s="6" t="s">
        <v>297</v>
      </c>
      <c r="F60" s="21" t="s">
        <v>528</v>
      </c>
      <c r="G60" s="10">
        <v>34991</v>
      </c>
      <c r="H60" s="11">
        <f t="shared" ca="1" si="10"/>
        <v>45973</v>
      </c>
      <c r="I60" s="5">
        <f t="shared" ca="1" si="11"/>
        <v>30</v>
      </c>
      <c r="J60" s="5"/>
      <c r="K60" s="6" t="s">
        <v>296</v>
      </c>
      <c r="L60" s="11" t="s">
        <v>499</v>
      </c>
      <c r="M60" s="6" t="s">
        <v>236</v>
      </c>
    </row>
    <row r="61" spans="2:13" x14ac:dyDescent="0.2">
      <c r="B61" s="8">
        <v>60</v>
      </c>
      <c r="C61" s="6">
        <v>325</v>
      </c>
      <c r="D61" s="6" t="s">
        <v>593</v>
      </c>
      <c r="E61" s="6" t="s">
        <v>594</v>
      </c>
      <c r="F61" s="21" t="s">
        <v>595</v>
      </c>
      <c r="G61" s="10">
        <v>36258</v>
      </c>
      <c r="H61" s="11">
        <f t="shared" ca="1" si="10"/>
        <v>45973</v>
      </c>
      <c r="I61" s="5">
        <f t="shared" ca="1" si="11"/>
        <v>26</v>
      </c>
      <c r="J61" s="5"/>
      <c r="K61" s="6" t="s">
        <v>195</v>
      </c>
      <c r="L61" s="11" t="s">
        <v>576</v>
      </c>
      <c r="M61" s="6" t="s">
        <v>236</v>
      </c>
    </row>
    <row r="62" spans="2:13" x14ac:dyDescent="0.2">
      <c r="B62" s="8">
        <v>61</v>
      </c>
      <c r="C62" s="6">
        <v>428</v>
      </c>
      <c r="D62" s="6" t="s">
        <v>298</v>
      </c>
      <c r="E62" s="6" t="s">
        <v>299</v>
      </c>
      <c r="F62" s="21" t="s">
        <v>529</v>
      </c>
      <c r="G62" s="10">
        <v>36567</v>
      </c>
      <c r="H62" s="11">
        <f t="shared" ca="1" si="10"/>
        <v>45973</v>
      </c>
      <c r="I62" s="5">
        <f t="shared" ca="1" si="11"/>
        <v>25</v>
      </c>
      <c r="J62" s="5"/>
      <c r="K62" s="6" t="s">
        <v>219</v>
      </c>
      <c r="L62" s="11" t="s">
        <v>502</v>
      </c>
      <c r="M62" s="6" t="s">
        <v>236</v>
      </c>
    </row>
    <row r="63" spans="2:13" x14ac:dyDescent="0.2">
      <c r="B63" s="8">
        <v>62</v>
      </c>
      <c r="C63" s="6">
        <v>400</v>
      </c>
      <c r="D63" s="6" t="s">
        <v>668</v>
      </c>
      <c r="E63" s="6" t="s">
        <v>665</v>
      </c>
      <c r="F63" s="21" t="s">
        <v>667</v>
      </c>
      <c r="G63" s="11">
        <v>37885</v>
      </c>
      <c r="H63" s="11">
        <f t="shared" ca="1" si="10"/>
        <v>45973</v>
      </c>
      <c r="I63" s="5">
        <f t="shared" ca="1" si="11"/>
        <v>22</v>
      </c>
      <c r="J63" s="5" t="s">
        <v>622</v>
      </c>
      <c r="K63" s="6" t="s">
        <v>293</v>
      </c>
      <c r="L63" s="11" t="s">
        <v>708</v>
      </c>
      <c r="M63" s="6" t="s">
        <v>333</v>
      </c>
    </row>
    <row r="64" spans="2:13" x14ac:dyDescent="0.2">
      <c r="B64" s="8">
        <v>63</v>
      </c>
      <c r="C64" s="6">
        <v>432</v>
      </c>
      <c r="D64" s="6" t="s">
        <v>68</v>
      </c>
      <c r="E64" s="6" t="s">
        <v>354</v>
      </c>
      <c r="F64" s="20">
        <v>27551</v>
      </c>
      <c r="G64" s="10">
        <v>27551</v>
      </c>
      <c r="H64" s="11">
        <f t="shared" ref="H64:H70" ca="1" si="12">TODAY()</f>
        <v>45973</v>
      </c>
      <c r="I64" s="5">
        <f t="shared" ca="1" si="11"/>
        <v>50</v>
      </c>
      <c r="J64" s="5" t="s">
        <v>623</v>
      </c>
      <c r="K64" s="6" t="s">
        <v>194</v>
      </c>
      <c r="L64" s="11" t="s">
        <v>483</v>
      </c>
      <c r="M64" s="6" t="s">
        <v>262</v>
      </c>
    </row>
    <row r="65" spans="2:13" x14ac:dyDescent="0.2">
      <c r="B65" s="8">
        <v>64</v>
      </c>
      <c r="C65" s="6">
        <v>647</v>
      </c>
      <c r="D65" s="6" t="s">
        <v>85</v>
      </c>
      <c r="E65" s="6" t="s">
        <v>221</v>
      </c>
      <c r="F65" s="20">
        <v>27704</v>
      </c>
      <c r="G65" s="10">
        <v>27704</v>
      </c>
      <c r="H65" s="11">
        <f t="shared" ca="1" si="12"/>
        <v>45973</v>
      </c>
      <c r="I65" s="5">
        <f t="shared" ca="1" si="11"/>
        <v>50</v>
      </c>
      <c r="J65" s="5" t="s">
        <v>622</v>
      </c>
      <c r="K65" s="6" t="s">
        <v>323</v>
      </c>
      <c r="L65" s="11" t="s">
        <v>530</v>
      </c>
      <c r="M65" s="6" t="s">
        <v>317</v>
      </c>
    </row>
    <row r="66" spans="2:13" x14ac:dyDescent="0.2">
      <c r="B66" s="8">
        <v>65</v>
      </c>
      <c r="C66" s="6">
        <v>71</v>
      </c>
      <c r="D66" s="6" t="s">
        <v>26</v>
      </c>
      <c r="E66" s="6" t="s">
        <v>355</v>
      </c>
      <c r="F66" s="20">
        <v>29363</v>
      </c>
      <c r="G66" s="10">
        <v>29363</v>
      </c>
      <c r="H66" s="11">
        <f t="shared" ca="1" si="12"/>
        <v>45973</v>
      </c>
      <c r="I66" s="5">
        <f t="shared" ca="1" si="11"/>
        <v>45</v>
      </c>
      <c r="J66" s="5" t="s">
        <v>625</v>
      </c>
      <c r="K66" s="6"/>
      <c r="L66" s="11" t="s">
        <v>531</v>
      </c>
      <c r="M66" s="6" t="s">
        <v>346</v>
      </c>
    </row>
    <row r="67" spans="2:13" x14ac:dyDescent="0.2">
      <c r="B67" s="8">
        <v>66</v>
      </c>
      <c r="C67" s="6">
        <v>19</v>
      </c>
      <c r="D67" s="6" t="s">
        <v>9</v>
      </c>
      <c r="E67" s="6" t="s">
        <v>356</v>
      </c>
      <c r="F67" s="20">
        <v>30718</v>
      </c>
      <c r="G67" s="10">
        <v>30718</v>
      </c>
      <c r="H67" s="11">
        <f t="shared" ca="1" si="12"/>
        <v>45973</v>
      </c>
      <c r="I67" s="5">
        <f t="shared" ca="1" si="11"/>
        <v>41</v>
      </c>
      <c r="J67" s="5" t="s">
        <v>623</v>
      </c>
      <c r="K67" s="6" t="s">
        <v>243</v>
      </c>
      <c r="L67" s="11" t="s">
        <v>507</v>
      </c>
      <c r="M67" s="6" t="s">
        <v>244</v>
      </c>
    </row>
    <row r="68" spans="2:13" x14ac:dyDescent="0.2">
      <c r="B68" s="8">
        <v>67</v>
      </c>
      <c r="C68" s="6">
        <v>641</v>
      </c>
      <c r="D68" s="6" t="s">
        <v>84</v>
      </c>
      <c r="E68" s="6" t="s">
        <v>357</v>
      </c>
      <c r="F68" s="20">
        <v>34534</v>
      </c>
      <c r="G68" s="10">
        <v>34534</v>
      </c>
      <c r="H68" s="11">
        <f t="shared" ca="1" si="12"/>
        <v>45973</v>
      </c>
      <c r="I68" s="5">
        <f t="shared" ca="1" si="11"/>
        <v>31</v>
      </c>
      <c r="J68" s="5" t="s">
        <v>622</v>
      </c>
      <c r="K68" s="6" t="s">
        <v>225</v>
      </c>
      <c r="L68" s="11" t="s">
        <v>484</v>
      </c>
      <c r="M68" s="6" t="s">
        <v>262</v>
      </c>
    </row>
    <row r="69" spans="2:13" x14ac:dyDescent="0.2">
      <c r="B69" s="8">
        <v>68</v>
      </c>
      <c r="C69" s="6">
        <v>368</v>
      </c>
      <c r="D69" s="6" t="s">
        <v>51</v>
      </c>
      <c r="E69" s="6" t="s">
        <v>358</v>
      </c>
      <c r="F69" s="20">
        <v>35369</v>
      </c>
      <c r="G69" s="10">
        <v>35369</v>
      </c>
      <c r="H69" s="11">
        <f t="shared" ca="1" si="12"/>
        <v>45973</v>
      </c>
      <c r="I69" s="5">
        <f t="shared" ca="1" si="11"/>
        <v>29</v>
      </c>
      <c r="J69" s="5" t="s">
        <v>623</v>
      </c>
      <c r="K69" s="6" t="s">
        <v>252</v>
      </c>
      <c r="L69" s="11" t="s">
        <v>490</v>
      </c>
      <c r="M69" s="6" t="s">
        <v>262</v>
      </c>
    </row>
    <row r="70" spans="2:13" x14ac:dyDescent="0.2">
      <c r="B70" s="8">
        <v>69</v>
      </c>
      <c r="C70" s="6">
        <v>33</v>
      </c>
      <c r="D70" s="6" t="s">
        <v>17</v>
      </c>
      <c r="E70" s="6" t="s">
        <v>359</v>
      </c>
      <c r="F70" s="20">
        <v>20553</v>
      </c>
      <c r="G70" s="10">
        <v>20553</v>
      </c>
      <c r="H70" s="11">
        <f t="shared" ca="1" si="12"/>
        <v>45973</v>
      </c>
      <c r="I70" s="5">
        <f t="shared" ca="1" si="11"/>
        <v>69</v>
      </c>
      <c r="J70" s="5" t="s">
        <v>622</v>
      </c>
      <c r="K70" s="6" t="s">
        <v>360</v>
      </c>
      <c r="L70" s="11" t="s">
        <v>532</v>
      </c>
      <c r="M70" s="6" t="s">
        <v>259</v>
      </c>
    </row>
    <row r="71" spans="2:13" x14ac:dyDescent="0.2">
      <c r="B71" s="8">
        <v>70</v>
      </c>
      <c r="C71" s="6">
        <v>2244</v>
      </c>
      <c r="D71" s="6" t="s">
        <v>692</v>
      </c>
      <c r="E71" s="6" t="s">
        <v>693</v>
      </c>
      <c r="F71" s="20" t="s">
        <v>694</v>
      </c>
      <c r="G71" s="10">
        <v>38641</v>
      </c>
      <c r="H71" s="11">
        <v>45967</v>
      </c>
      <c r="I71" s="5"/>
      <c r="J71" s="5" t="s">
        <v>622</v>
      </c>
      <c r="K71" s="6" t="s">
        <v>695</v>
      </c>
      <c r="L71" s="11" t="s">
        <v>696</v>
      </c>
      <c r="M71" s="6" t="s">
        <v>697</v>
      </c>
    </row>
    <row r="72" spans="2:13" x14ac:dyDescent="0.2">
      <c r="B72" s="8">
        <v>71</v>
      </c>
      <c r="C72" s="6">
        <v>1168</v>
      </c>
      <c r="D72" s="6" t="s">
        <v>88</v>
      </c>
      <c r="E72" s="6" t="s">
        <v>362</v>
      </c>
      <c r="F72" s="20">
        <v>38251</v>
      </c>
      <c r="G72" s="10">
        <v>38251</v>
      </c>
      <c r="H72" s="11">
        <f ca="1">TODAY()</f>
        <v>45973</v>
      </c>
      <c r="I72" s="5">
        <f ca="1">DATEDIF(G72, H72, "Y")</f>
        <v>21</v>
      </c>
      <c r="J72" s="5"/>
      <c r="K72" s="6" t="s">
        <v>321</v>
      </c>
      <c r="L72" s="11" t="s">
        <v>484</v>
      </c>
      <c r="M72" s="6" t="s">
        <v>363</v>
      </c>
    </row>
    <row r="73" spans="2:13" x14ac:dyDescent="0.2">
      <c r="B73" s="8">
        <v>72</v>
      </c>
      <c r="C73" s="6">
        <v>88</v>
      </c>
      <c r="D73" s="6" t="s">
        <v>29</v>
      </c>
      <c r="E73" s="6" t="s">
        <v>365</v>
      </c>
      <c r="F73" s="20" t="s">
        <v>533</v>
      </c>
      <c r="G73" s="10">
        <v>38615</v>
      </c>
      <c r="H73" s="11">
        <f t="shared" ref="H73:H79" ca="1" si="13">TODAY()</f>
        <v>45973</v>
      </c>
      <c r="I73" s="5">
        <f t="shared" ref="I73:I79" ca="1" si="14">DATEDIF(G73, H73, "Y")</f>
        <v>20</v>
      </c>
      <c r="J73" s="5" t="s">
        <v>622</v>
      </c>
      <c r="K73" s="6" t="s">
        <v>194</v>
      </c>
      <c r="L73" s="11" t="s">
        <v>475</v>
      </c>
      <c r="M73" s="6" t="s">
        <v>268</v>
      </c>
    </row>
    <row r="74" spans="2:13" x14ac:dyDescent="0.2">
      <c r="B74" s="8">
        <v>73</v>
      </c>
      <c r="C74" s="6">
        <v>2016</v>
      </c>
      <c r="D74" s="6" t="s">
        <v>98</v>
      </c>
      <c r="E74" s="6" t="s">
        <v>366</v>
      </c>
      <c r="F74" s="20">
        <v>38850</v>
      </c>
      <c r="G74" s="10">
        <v>38850</v>
      </c>
      <c r="H74" s="11">
        <f t="shared" ca="1" si="13"/>
        <v>45973</v>
      </c>
      <c r="I74" s="5">
        <f t="shared" ca="1" si="14"/>
        <v>19</v>
      </c>
      <c r="J74" s="5"/>
      <c r="K74" s="6" t="s">
        <v>184</v>
      </c>
      <c r="L74" s="11" t="s">
        <v>534</v>
      </c>
      <c r="M74" s="6" t="s">
        <v>342</v>
      </c>
    </row>
    <row r="75" spans="2:13" x14ac:dyDescent="0.2">
      <c r="B75" s="8">
        <v>74</v>
      </c>
      <c r="C75" s="6">
        <v>347</v>
      </c>
      <c r="D75" s="6" t="s">
        <v>44</v>
      </c>
      <c r="E75" s="6" t="s">
        <v>265</v>
      </c>
      <c r="F75" s="20">
        <v>21049</v>
      </c>
      <c r="G75" s="10">
        <v>21049</v>
      </c>
      <c r="H75" s="11">
        <f t="shared" ca="1" si="13"/>
        <v>45973</v>
      </c>
      <c r="I75" s="5">
        <f t="shared" ca="1" si="14"/>
        <v>68</v>
      </c>
      <c r="J75" s="5" t="s">
        <v>625</v>
      </c>
      <c r="K75" s="6" t="s">
        <v>225</v>
      </c>
      <c r="L75" s="11" t="s">
        <v>535</v>
      </c>
      <c r="M75" s="6" t="s">
        <v>266</v>
      </c>
    </row>
    <row r="76" spans="2:13" x14ac:dyDescent="0.2">
      <c r="B76" s="8">
        <v>75</v>
      </c>
      <c r="C76" s="6">
        <v>63</v>
      </c>
      <c r="D76" s="6" t="s">
        <v>288</v>
      </c>
      <c r="E76" s="6" t="s">
        <v>289</v>
      </c>
      <c r="F76" s="20">
        <v>29607</v>
      </c>
      <c r="G76" s="10">
        <v>29607</v>
      </c>
      <c r="H76" s="11">
        <f t="shared" ca="1" si="13"/>
        <v>45973</v>
      </c>
      <c r="I76" s="5">
        <f ca="1">DATEDIF(G76, H76, "Y")</f>
        <v>44</v>
      </c>
      <c r="J76" s="5" t="s">
        <v>622</v>
      </c>
      <c r="K76" s="6" t="s">
        <v>631</v>
      </c>
      <c r="L76" s="11" t="s">
        <v>492</v>
      </c>
      <c r="M76" s="6" t="s">
        <v>337</v>
      </c>
    </row>
    <row r="77" spans="2:13" x14ac:dyDescent="0.2">
      <c r="B77" s="8">
        <v>76</v>
      </c>
      <c r="C77" s="6">
        <v>315</v>
      </c>
      <c r="D77" s="6" t="s">
        <v>38</v>
      </c>
      <c r="E77" s="6" t="s">
        <v>367</v>
      </c>
      <c r="F77" s="20">
        <v>21715</v>
      </c>
      <c r="G77" s="10">
        <v>21715</v>
      </c>
      <c r="H77" s="11">
        <f t="shared" ca="1" si="13"/>
        <v>45973</v>
      </c>
      <c r="I77" s="5">
        <f t="shared" ca="1" si="14"/>
        <v>66</v>
      </c>
      <c r="J77" s="5" t="s">
        <v>622</v>
      </c>
      <c r="K77" s="6" t="s">
        <v>188</v>
      </c>
      <c r="L77" s="11" t="s">
        <v>536</v>
      </c>
      <c r="M77" s="6" t="s">
        <v>333</v>
      </c>
    </row>
    <row r="78" spans="2:13" x14ac:dyDescent="0.2">
      <c r="B78" s="8">
        <v>77</v>
      </c>
      <c r="C78" s="6">
        <v>13</v>
      </c>
      <c r="D78" s="6" t="s">
        <v>5</v>
      </c>
      <c r="E78" s="6" t="s">
        <v>222</v>
      </c>
      <c r="F78" s="20">
        <v>23254</v>
      </c>
      <c r="G78" s="10">
        <v>23254</v>
      </c>
      <c r="H78" s="11">
        <f t="shared" ca="1" si="13"/>
        <v>45973</v>
      </c>
      <c r="I78" s="5">
        <f t="shared" ca="1" si="14"/>
        <v>62</v>
      </c>
      <c r="J78" s="5" t="s">
        <v>622</v>
      </c>
      <c r="K78" s="6" t="s">
        <v>219</v>
      </c>
      <c r="L78" s="11" t="s">
        <v>537</v>
      </c>
      <c r="M78" s="6" t="s">
        <v>317</v>
      </c>
    </row>
    <row r="79" spans="2:13" x14ac:dyDescent="0.2">
      <c r="B79" s="8">
        <v>78</v>
      </c>
      <c r="C79" s="6">
        <v>445</v>
      </c>
      <c r="D79" s="6" t="s">
        <v>703</v>
      </c>
      <c r="E79" s="6" t="s">
        <v>704</v>
      </c>
      <c r="F79" s="20" t="s">
        <v>705</v>
      </c>
      <c r="G79" s="10">
        <v>32417</v>
      </c>
      <c r="H79" s="11">
        <f t="shared" ca="1" si="13"/>
        <v>45973</v>
      </c>
      <c r="I79" s="5">
        <f t="shared" ca="1" si="14"/>
        <v>37</v>
      </c>
      <c r="J79" s="5" t="s">
        <v>622</v>
      </c>
      <c r="K79" s="6" t="s">
        <v>706</v>
      </c>
      <c r="L79" s="11" t="s">
        <v>696</v>
      </c>
      <c r="M79" s="6" t="s">
        <v>392</v>
      </c>
    </row>
    <row r="80" spans="2:13" x14ac:dyDescent="0.2">
      <c r="B80" s="8">
        <v>79</v>
      </c>
      <c r="C80" s="6">
        <v>2255</v>
      </c>
      <c r="D80" s="6" t="s">
        <v>573</v>
      </c>
      <c r="E80" s="6" t="s">
        <v>574</v>
      </c>
      <c r="F80" s="20" t="s">
        <v>575</v>
      </c>
      <c r="G80" s="10">
        <v>24045</v>
      </c>
      <c r="H80" s="11">
        <f t="shared" ref="H80:H92" ca="1" si="15">TODAY()</f>
        <v>45973</v>
      </c>
      <c r="I80" s="5">
        <f t="shared" ref="I80:I92" ca="1" si="16">DATEDIF(G80, H80, "Y")</f>
        <v>60</v>
      </c>
      <c r="J80" s="5" t="s">
        <v>622</v>
      </c>
      <c r="K80" s="6" t="s">
        <v>378</v>
      </c>
      <c r="L80" s="11" t="s">
        <v>576</v>
      </c>
      <c r="M80" s="6" t="s">
        <v>689</v>
      </c>
    </row>
    <row r="81" spans="2:13" x14ac:dyDescent="0.2">
      <c r="B81" s="8">
        <v>80</v>
      </c>
      <c r="C81" s="6">
        <v>2231</v>
      </c>
      <c r="D81" s="6" t="s">
        <v>128</v>
      </c>
      <c r="E81" s="6" t="s">
        <v>276</v>
      </c>
      <c r="F81" s="20">
        <v>24037</v>
      </c>
      <c r="G81" s="10">
        <v>24037</v>
      </c>
      <c r="H81" s="11">
        <f t="shared" ca="1" si="15"/>
        <v>45973</v>
      </c>
      <c r="I81" s="5">
        <f t="shared" ca="1" si="16"/>
        <v>60</v>
      </c>
      <c r="J81" s="5" t="s">
        <v>622</v>
      </c>
      <c r="K81" s="6" t="s">
        <v>192</v>
      </c>
      <c r="L81" s="11" t="s">
        <v>519</v>
      </c>
      <c r="M81" s="6" t="s">
        <v>281</v>
      </c>
    </row>
    <row r="82" spans="2:13" x14ac:dyDescent="0.2">
      <c r="B82" s="8">
        <v>81</v>
      </c>
      <c r="C82" s="6">
        <v>2212</v>
      </c>
      <c r="D82" s="6" t="s">
        <v>121</v>
      </c>
      <c r="E82" s="6" t="s">
        <v>368</v>
      </c>
      <c r="F82" s="20">
        <v>24400</v>
      </c>
      <c r="G82" s="10">
        <v>24400</v>
      </c>
      <c r="H82" s="11">
        <f t="shared" ca="1" si="15"/>
        <v>45973</v>
      </c>
      <c r="I82" s="5">
        <f t="shared" ca="1" si="16"/>
        <v>59</v>
      </c>
      <c r="J82" s="5" t="s">
        <v>622</v>
      </c>
      <c r="K82" s="6" t="s">
        <v>602</v>
      </c>
      <c r="L82" s="11" t="s">
        <v>507</v>
      </c>
      <c r="M82" s="6" t="s">
        <v>310</v>
      </c>
    </row>
    <row r="83" spans="2:13" x14ac:dyDescent="0.2">
      <c r="B83" s="8">
        <v>82</v>
      </c>
      <c r="C83" s="6">
        <v>2201</v>
      </c>
      <c r="D83" s="6" t="s">
        <v>305</v>
      </c>
      <c r="E83" s="6" t="s">
        <v>303</v>
      </c>
      <c r="F83" s="21" t="s">
        <v>538</v>
      </c>
      <c r="G83" s="10">
        <v>24572</v>
      </c>
      <c r="H83" s="11">
        <f t="shared" ca="1" si="15"/>
        <v>45973</v>
      </c>
      <c r="I83" s="5">
        <f t="shared" ca="1" si="16"/>
        <v>58</v>
      </c>
      <c r="J83" s="5" t="s">
        <v>623</v>
      </c>
      <c r="K83" s="7" t="s">
        <v>306</v>
      </c>
      <c r="L83" s="11" t="s">
        <v>497</v>
      </c>
      <c r="M83" s="6" t="s">
        <v>304</v>
      </c>
    </row>
    <row r="84" spans="2:13" x14ac:dyDescent="0.2">
      <c r="B84" s="8">
        <v>83</v>
      </c>
      <c r="C84" s="12">
        <v>2006</v>
      </c>
      <c r="D84" s="12" t="s">
        <v>91</v>
      </c>
      <c r="E84" s="12" t="s">
        <v>369</v>
      </c>
      <c r="F84" s="22">
        <v>24155</v>
      </c>
      <c r="G84" s="14">
        <v>24155</v>
      </c>
      <c r="H84" s="15">
        <f t="shared" ca="1" si="15"/>
        <v>45973</v>
      </c>
      <c r="I84" s="16">
        <f t="shared" ca="1" si="16"/>
        <v>59</v>
      </c>
      <c r="J84" s="16" t="s">
        <v>622</v>
      </c>
      <c r="K84" s="12" t="s">
        <v>286</v>
      </c>
      <c r="L84" s="15" t="s">
        <v>539</v>
      </c>
      <c r="M84" s="12" t="s">
        <v>266</v>
      </c>
    </row>
    <row r="85" spans="2:13" x14ac:dyDescent="0.2">
      <c r="B85" s="8">
        <v>84</v>
      </c>
      <c r="C85" s="6">
        <v>130</v>
      </c>
      <c r="D85" s="6" t="s">
        <v>35</v>
      </c>
      <c r="E85" s="6" t="s">
        <v>210</v>
      </c>
      <c r="F85" s="20">
        <v>24806</v>
      </c>
      <c r="G85" s="10">
        <v>24806</v>
      </c>
      <c r="H85" s="11">
        <f t="shared" ca="1" si="15"/>
        <v>45973</v>
      </c>
      <c r="I85" s="5">
        <f t="shared" ca="1" si="16"/>
        <v>57</v>
      </c>
      <c r="J85" s="5" t="s">
        <v>623</v>
      </c>
      <c r="K85" s="6" t="s">
        <v>603</v>
      </c>
      <c r="L85" s="11" t="s">
        <v>540</v>
      </c>
      <c r="M85" s="6" t="s">
        <v>385</v>
      </c>
    </row>
    <row r="86" spans="2:13" x14ac:dyDescent="0.2">
      <c r="B86" s="8">
        <v>85</v>
      </c>
      <c r="C86" s="6">
        <v>2243</v>
      </c>
      <c r="D86" s="6" t="s">
        <v>136</v>
      </c>
      <c r="E86" s="6" t="s">
        <v>370</v>
      </c>
      <c r="F86" s="20">
        <v>25042</v>
      </c>
      <c r="G86" s="10">
        <v>25042</v>
      </c>
      <c r="H86" s="11">
        <f t="shared" ca="1" si="15"/>
        <v>45973</v>
      </c>
      <c r="I86" s="5">
        <f t="shared" ca="1" si="16"/>
        <v>57</v>
      </c>
      <c r="J86" s="5" t="s">
        <v>622</v>
      </c>
      <c r="K86" s="6" t="s">
        <v>197</v>
      </c>
      <c r="L86" s="11" t="s">
        <v>516</v>
      </c>
      <c r="M86" s="6" t="s">
        <v>266</v>
      </c>
    </row>
    <row r="87" spans="2:13" x14ac:dyDescent="0.2">
      <c r="B87" s="8">
        <v>86</v>
      </c>
      <c r="C87" s="6">
        <v>2034</v>
      </c>
      <c r="D87" s="6" t="s">
        <v>107</v>
      </c>
      <c r="E87" s="6" t="s">
        <v>371</v>
      </c>
      <c r="F87" s="20">
        <v>25198</v>
      </c>
      <c r="G87" s="10">
        <v>25198</v>
      </c>
      <c r="H87" s="11">
        <f t="shared" ca="1" si="15"/>
        <v>45973</v>
      </c>
      <c r="I87" s="5">
        <f t="shared" ca="1" si="16"/>
        <v>56</v>
      </c>
      <c r="J87" s="5"/>
      <c r="K87" s="6" t="s">
        <v>372</v>
      </c>
      <c r="L87" s="11" t="s">
        <v>487</v>
      </c>
      <c r="M87" s="6" t="s">
        <v>270</v>
      </c>
    </row>
    <row r="88" spans="2:13" x14ac:dyDescent="0.2">
      <c r="B88" s="8">
        <v>87</v>
      </c>
      <c r="C88" s="6">
        <v>439</v>
      </c>
      <c r="D88" s="6" t="s">
        <v>69</v>
      </c>
      <c r="E88" s="6" t="s">
        <v>373</v>
      </c>
      <c r="F88" s="20">
        <v>25440</v>
      </c>
      <c r="G88" s="10">
        <v>25440</v>
      </c>
      <c r="H88" s="11">
        <f t="shared" ca="1" si="15"/>
        <v>45973</v>
      </c>
      <c r="I88" s="5">
        <f t="shared" ca="1" si="16"/>
        <v>56</v>
      </c>
      <c r="J88" s="5" t="s">
        <v>622</v>
      </c>
      <c r="K88" s="6" t="s">
        <v>215</v>
      </c>
      <c r="L88" s="11" t="s">
        <v>541</v>
      </c>
      <c r="M88" s="6" t="s">
        <v>266</v>
      </c>
    </row>
    <row r="89" spans="2:13" x14ac:dyDescent="0.2">
      <c r="B89" s="8">
        <v>88</v>
      </c>
      <c r="C89" s="6">
        <v>2</v>
      </c>
      <c r="D89" s="6" t="s">
        <v>1</v>
      </c>
      <c r="E89" s="6" t="s">
        <v>374</v>
      </c>
      <c r="F89" s="20">
        <v>25504</v>
      </c>
      <c r="G89" s="10">
        <v>25504</v>
      </c>
      <c r="H89" s="11">
        <f t="shared" ca="1" si="15"/>
        <v>45973</v>
      </c>
      <c r="I89" s="5">
        <f t="shared" ca="1" si="16"/>
        <v>56</v>
      </c>
      <c r="J89" s="5" t="s">
        <v>623</v>
      </c>
      <c r="K89" s="6" t="s">
        <v>375</v>
      </c>
      <c r="L89" s="11" t="s">
        <v>507</v>
      </c>
      <c r="M89" s="6" t="s">
        <v>381</v>
      </c>
    </row>
    <row r="90" spans="2:13" x14ac:dyDescent="0.2">
      <c r="B90" s="8">
        <v>89</v>
      </c>
      <c r="C90" s="6">
        <v>410</v>
      </c>
      <c r="D90" s="6" t="s">
        <v>59</v>
      </c>
      <c r="E90" s="6" t="s">
        <v>376</v>
      </c>
      <c r="F90" s="20">
        <v>25603</v>
      </c>
      <c r="G90" s="10">
        <v>25603</v>
      </c>
      <c r="H90" s="11">
        <f t="shared" ca="1" si="15"/>
        <v>45973</v>
      </c>
      <c r="I90" s="5">
        <f t="shared" ca="1" si="16"/>
        <v>55</v>
      </c>
      <c r="J90" s="5" t="s">
        <v>622</v>
      </c>
      <c r="K90" s="6" t="s">
        <v>377</v>
      </c>
      <c r="L90" s="11" t="s">
        <v>542</v>
      </c>
      <c r="M90" s="6" t="s">
        <v>350</v>
      </c>
    </row>
    <row r="91" spans="2:13" x14ac:dyDescent="0.2">
      <c r="B91" s="8">
        <v>90</v>
      </c>
      <c r="C91" s="6">
        <v>55</v>
      </c>
      <c r="D91" s="6" t="s">
        <v>24</v>
      </c>
      <c r="E91" s="6" t="s">
        <v>179</v>
      </c>
      <c r="F91" s="20">
        <v>25577</v>
      </c>
      <c r="G91" s="10">
        <v>25577</v>
      </c>
      <c r="H91" s="11">
        <f t="shared" ca="1" si="15"/>
        <v>45973</v>
      </c>
      <c r="I91" s="5">
        <f t="shared" ca="1" si="16"/>
        <v>55</v>
      </c>
      <c r="J91" s="5" t="s">
        <v>623</v>
      </c>
      <c r="K91" s="6" t="s">
        <v>378</v>
      </c>
      <c r="L91" s="11" t="s">
        <v>543</v>
      </c>
      <c r="M91" s="6" t="s">
        <v>304</v>
      </c>
    </row>
    <row r="92" spans="2:13" x14ac:dyDescent="0.2">
      <c r="B92" s="8">
        <v>91</v>
      </c>
      <c r="C92" s="6">
        <v>387</v>
      </c>
      <c r="D92" s="6" t="s">
        <v>54</v>
      </c>
      <c r="E92" s="6" t="s">
        <v>379</v>
      </c>
      <c r="F92" s="20">
        <v>24104</v>
      </c>
      <c r="G92" s="10">
        <v>24104</v>
      </c>
      <c r="H92" s="11">
        <f t="shared" ca="1" si="15"/>
        <v>45973</v>
      </c>
      <c r="I92" s="5">
        <f t="shared" ca="1" si="16"/>
        <v>59</v>
      </c>
      <c r="J92" s="5" t="s">
        <v>622</v>
      </c>
      <c r="K92" s="6" t="s">
        <v>227</v>
      </c>
      <c r="L92" s="11" t="s">
        <v>520</v>
      </c>
      <c r="M92" s="6" t="s">
        <v>268</v>
      </c>
    </row>
    <row r="93" spans="2:13" x14ac:dyDescent="0.2">
      <c r="B93" s="8">
        <v>92</v>
      </c>
      <c r="C93" s="6">
        <v>2227</v>
      </c>
      <c r="D93" s="6" t="s">
        <v>126</v>
      </c>
      <c r="E93" s="6" t="s">
        <v>382</v>
      </c>
      <c r="F93" s="20">
        <v>25761</v>
      </c>
      <c r="G93" s="10">
        <v>25761</v>
      </c>
      <c r="H93" s="11">
        <f t="shared" ref="H93:H112" ca="1" si="17">TODAY()</f>
        <v>45973</v>
      </c>
      <c r="I93" s="5">
        <f t="shared" ref="I93:I112" ca="1" si="18">DATEDIF(G93, H93, "Y")</f>
        <v>55</v>
      </c>
      <c r="J93" s="5" t="s">
        <v>623</v>
      </c>
      <c r="K93" s="6" t="s">
        <v>383</v>
      </c>
      <c r="L93" s="11" t="s">
        <v>544</v>
      </c>
      <c r="M93" s="6" t="s">
        <v>287</v>
      </c>
    </row>
    <row r="94" spans="2:13" x14ac:dyDescent="0.2">
      <c r="B94" s="8">
        <v>93</v>
      </c>
      <c r="C94" s="6">
        <v>18</v>
      </c>
      <c r="D94" s="6" t="s">
        <v>111</v>
      </c>
      <c r="E94" s="6" t="s">
        <v>207</v>
      </c>
      <c r="F94" s="20">
        <v>25856</v>
      </c>
      <c r="G94" s="10">
        <v>25856</v>
      </c>
      <c r="H94" s="11">
        <f t="shared" ca="1" si="17"/>
        <v>45973</v>
      </c>
      <c r="I94" s="5">
        <f t="shared" ca="1" si="18"/>
        <v>55</v>
      </c>
      <c r="J94" s="5" t="s">
        <v>627</v>
      </c>
      <c r="K94" s="6" t="s">
        <v>208</v>
      </c>
      <c r="L94" s="11" t="s">
        <v>545</v>
      </c>
      <c r="M94" s="6" t="s">
        <v>315</v>
      </c>
    </row>
    <row r="95" spans="2:13" x14ac:dyDescent="0.2">
      <c r="B95" s="8">
        <v>94</v>
      </c>
      <c r="C95" s="6">
        <v>458</v>
      </c>
      <c r="D95" s="6" t="s">
        <v>74</v>
      </c>
      <c r="E95" s="6" t="s">
        <v>258</v>
      </c>
      <c r="F95" s="20">
        <v>25878</v>
      </c>
      <c r="G95" s="10">
        <v>25878</v>
      </c>
      <c r="H95" s="11">
        <f t="shared" ca="1" si="17"/>
        <v>45973</v>
      </c>
      <c r="I95" s="5">
        <f t="shared" ca="1" si="18"/>
        <v>55</v>
      </c>
      <c r="J95" s="5" t="s">
        <v>622</v>
      </c>
      <c r="K95" s="6" t="s">
        <v>255</v>
      </c>
      <c r="L95" s="11" t="s">
        <v>546</v>
      </c>
      <c r="M95" s="6" t="s">
        <v>257</v>
      </c>
    </row>
    <row r="96" spans="2:13" x14ac:dyDescent="0.2">
      <c r="B96" s="8">
        <v>95</v>
      </c>
      <c r="C96" s="6">
        <v>2017</v>
      </c>
      <c r="D96" s="6" t="s">
        <v>99</v>
      </c>
      <c r="E96" s="6" t="s">
        <v>639</v>
      </c>
      <c r="F96" s="20" t="s">
        <v>643</v>
      </c>
      <c r="G96" s="10">
        <v>24747</v>
      </c>
      <c r="H96" s="11">
        <f t="shared" ca="1" si="17"/>
        <v>45973</v>
      </c>
      <c r="I96" s="5">
        <f t="shared" ca="1" si="18"/>
        <v>58</v>
      </c>
      <c r="J96" s="5"/>
      <c r="K96" s="6" t="s">
        <v>191</v>
      </c>
      <c r="L96" s="11" t="s">
        <v>644</v>
      </c>
      <c r="M96" s="6" t="s">
        <v>268</v>
      </c>
    </row>
    <row r="97" spans="2:13" x14ac:dyDescent="0.2">
      <c r="B97" s="8">
        <v>96</v>
      </c>
      <c r="C97" s="6">
        <v>2221</v>
      </c>
      <c r="D97" s="6" t="s">
        <v>139</v>
      </c>
      <c r="E97" s="6" t="s">
        <v>238</v>
      </c>
      <c r="F97" s="20">
        <v>25884</v>
      </c>
      <c r="G97" s="10">
        <v>25884</v>
      </c>
      <c r="H97" s="11">
        <f t="shared" ca="1" si="17"/>
        <v>45973</v>
      </c>
      <c r="I97" s="5">
        <f t="shared" ca="1" si="18"/>
        <v>55</v>
      </c>
      <c r="J97" s="5" t="s">
        <v>625</v>
      </c>
      <c r="K97" s="6" t="s">
        <v>384</v>
      </c>
      <c r="L97" s="11" t="s">
        <v>547</v>
      </c>
      <c r="M97" s="6" t="s">
        <v>385</v>
      </c>
    </row>
    <row r="98" spans="2:13" x14ac:dyDescent="0.2">
      <c r="B98" s="8">
        <v>97</v>
      </c>
      <c r="C98" s="6">
        <v>339</v>
      </c>
      <c r="D98" s="6" t="s">
        <v>43</v>
      </c>
      <c r="E98" s="6" t="s">
        <v>638</v>
      </c>
      <c r="F98" s="20" t="s">
        <v>640</v>
      </c>
      <c r="G98" s="10">
        <v>24931</v>
      </c>
      <c r="H98" s="11">
        <f t="shared" ca="1" si="17"/>
        <v>45973</v>
      </c>
      <c r="I98" s="5">
        <f t="shared" ca="1" si="18"/>
        <v>57</v>
      </c>
      <c r="J98" s="5" t="s">
        <v>622</v>
      </c>
      <c r="K98" s="6" t="s">
        <v>165</v>
      </c>
      <c r="L98" s="11" t="s">
        <v>641</v>
      </c>
      <c r="M98" s="6" t="s">
        <v>281</v>
      </c>
    </row>
    <row r="99" spans="2:13" x14ac:dyDescent="0.2">
      <c r="B99" s="8">
        <v>98</v>
      </c>
      <c r="C99" s="6">
        <v>415</v>
      </c>
      <c r="D99" s="6" t="s">
        <v>62</v>
      </c>
      <c r="E99" s="6" t="s">
        <v>386</v>
      </c>
      <c r="F99" s="20">
        <v>26467</v>
      </c>
      <c r="G99" s="10">
        <v>26467</v>
      </c>
      <c r="H99" s="11">
        <f t="shared" ca="1" si="17"/>
        <v>45973</v>
      </c>
      <c r="I99" s="5">
        <f t="shared" ca="1" si="18"/>
        <v>53</v>
      </c>
      <c r="J99" s="5" t="s">
        <v>622</v>
      </c>
      <c r="K99" s="6" t="s">
        <v>233</v>
      </c>
      <c r="L99" s="11" t="s">
        <v>548</v>
      </c>
      <c r="M99" s="6" t="s">
        <v>385</v>
      </c>
    </row>
    <row r="100" spans="2:13" x14ac:dyDescent="0.2">
      <c r="B100" s="8">
        <v>99</v>
      </c>
      <c r="C100" s="6">
        <v>47</v>
      </c>
      <c r="D100" s="6" t="s">
        <v>22</v>
      </c>
      <c r="E100" s="6" t="s">
        <v>387</v>
      </c>
      <c r="F100" s="20">
        <v>26564</v>
      </c>
      <c r="G100" s="10">
        <v>26564</v>
      </c>
      <c r="H100" s="11">
        <f t="shared" ca="1" si="17"/>
        <v>45973</v>
      </c>
      <c r="I100" s="5">
        <f t="shared" ca="1" si="18"/>
        <v>53</v>
      </c>
      <c r="J100" s="5" t="s">
        <v>622</v>
      </c>
      <c r="K100" s="6" t="s">
        <v>388</v>
      </c>
      <c r="L100" s="11" t="s">
        <v>549</v>
      </c>
      <c r="M100" s="6" t="s">
        <v>389</v>
      </c>
    </row>
    <row r="101" spans="2:13" x14ac:dyDescent="0.2">
      <c r="B101" s="8">
        <v>100</v>
      </c>
      <c r="C101" s="6">
        <v>2250</v>
      </c>
      <c r="D101" s="6" t="s">
        <v>138</v>
      </c>
      <c r="E101" s="6" t="s">
        <v>390</v>
      </c>
      <c r="F101" s="20">
        <v>26326</v>
      </c>
      <c r="G101" s="10">
        <v>26326</v>
      </c>
      <c r="H101" s="11">
        <f t="shared" ca="1" si="17"/>
        <v>45973</v>
      </c>
      <c r="I101" s="5">
        <f t="shared" ca="1" si="18"/>
        <v>53</v>
      </c>
      <c r="J101" s="5" t="s">
        <v>622</v>
      </c>
      <c r="K101" s="6" t="s">
        <v>180</v>
      </c>
      <c r="L101" s="11" t="s">
        <v>550</v>
      </c>
      <c r="M101" s="6" t="s">
        <v>391</v>
      </c>
    </row>
    <row r="102" spans="2:13" x14ac:dyDescent="0.2">
      <c r="B102" s="8">
        <v>101</v>
      </c>
      <c r="C102" s="6">
        <v>21</v>
      </c>
      <c r="D102" s="6" t="s">
        <v>10</v>
      </c>
      <c r="E102" s="6" t="s">
        <v>245</v>
      </c>
      <c r="F102" s="20">
        <v>26771</v>
      </c>
      <c r="G102" s="10">
        <v>26771</v>
      </c>
      <c r="H102" s="11">
        <f t="shared" ca="1" si="17"/>
        <v>45973</v>
      </c>
      <c r="I102" s="5">
        <f t="shared" ca="1" si="18"/>
        <v>52</v>
      </c>
      <c r="J102" s="5" t="s">
        <v>622</v>
      </c>
      <c r="K102" s="6" t="s">
        <v>247</v>
      </c>
      <c r="L102" s="11" t="s">
        <v>551</v>
      </c>
      <c r="M102" s="6" t="s">
        <v>392</v>
      </c>
    </row>
    <row r="103" spans="2:13" x14ac:dyDescent="0.2">
      <c r="B103" s="8">
        <v>102</v>
      </c>
      <c r="C103" s="6">
        <v>430</v>
      </c>
      <c r="D103" s="6" t="s">
        <v>633</v>
      </c>
      <c r="E103" s="6" t="s">
        <v>634</v>
      </c>
      <c r="F103" s="20" t="s">
        <v>635</v>
      </c>
      <c r="G103" s="10">
        <v>26846</v>
      </c>
      <c r="H103" s="11">
        <f t="shared" ca="1" si="17"/>
        <v>45973</v>
      </c>
      <c r="I103" s="5">
        <f t="shared" ca="1" si="18"/>
        <v>52</v>
      </c>
      <c r="J103" s="5" t="s">
        <v>622</v>
      </c>
      <c r="K103" s="6" t="s">
        <v>378</v>
      </c>
      <c r="L103" s="11" t="s">
        <v>636</v>
      </c>
      <c r="M103" s="6" t="s">
        <v>413</v>
      </c>
    </row>
    <row r="104" spans="2:13" x14ac:dyDescent="0.2">
      <c r="B104" s="8">
        <v>103</v>
      </c>
      <c r="C104" s="6">
        <v>30</v>
      </c>
      <c r="D104" s="6" t="s">
        <v>16</v>
      </c>
      <c r="E104" s="6" t="s">
        <v>285</v>
      </c>
      <c r="F104" s="20">
        <v>20223</v>
      </c>
      <c r="G104" s="10">
        <v>20223</v>
      </c>
      <c r="H104" s="11">
        <f t="shared" ca="1" si="17"/>
        <v>45973</v>
      </c>
      <c r="I104" s="5">
        <f t="shared" ca="1" si="18"/>
        <v>70</v>
      </c>
      <c r="J104" s="5" t="s">
        <v>622</v>
      </c>
      <c r="K104" s="6" t="s">
        <v>393</v>
      </c>
      <c r="L104" s="11" t="s">
        <v>511</v>
      </c>
      <c r="M104" s="6" t="s">
        <v>394</v>
      </c>
    </row>
    <row r="105" spans="2:13" x14ac:dyDescent="0.2">
      <c r="B105" s="8">
        <v>104</v>
      </c>
      <c r="C105" s="6">
        <v>16</v>
      </c>
      <c r="D105" s="6" t="s">
        <v>7</v>
      </c>
      <c r="E105" s="6" t="s">
        <v>200</v>
      </c>
      <c r="F105" s="20">
        <v>20138</v>
      </c>
      <c r="G105" s="10">
        <v>20138</v>
      </c>
      <c r="H105" s="11">
        <f t="shared" ca="1" si="17"/>
        <v>45973</v>
      </c>
      <c r="I105" s="5">
        <f t="shared" ca="1" si="18"/>
        <v>70</v>
      </c>
      <c r="J105" s="5" t="s">
        <v>622</v>
      </c>
      <c r="K105" s="6" t="s">
        <v>201</v>
      </c>
      <c r="L105" s="11" t="s">
        <v>552</v>
      </c>
      <c r="M105" s="6" t="s">
        <v>395</v>
      </c>
    </row>
    <row r="106" spans="2:13" x14ac:dyDescent="0.2">
      <c r="B106" s="8">
        <v>105</v>
      </c>
      <c r="C106" s="6">
        <v>448</v>
      </c>
      <c r="D106" s="6" t="s">
        <v>71</v>
      </c>
      <c r="E106" s="6" t="s">
        <v>396</v>
      </c>
      <c r="F106" s="20">
        <v>27534</v>
      </c>
      <c r="G106" s="10">
        <v>27534</v>
      </c>
      <c r="H106" s="11">
        <f t="shared" ca="1" si="17"/>
        <v>45973</v>
      </c>
      <c r="I106" s="5">
        <f t="shared" ca="1" si="18"/>
        <v>50</v>
      </c>
      <c r="J106" s="5" t="s">
        <v>626</v>
      </c>
      <c r="K106" s="6" t="s">
        <v>397</v>
      </c>
      <c r="L106" s="11" t="s">
        <v>548</v>
      </c>
      <c r="M106" s="6" t="s">
        <v>381</v>
      </c>
    </row>
    <row r="107" spans="2:13" x14ac:dyDescent="0.2">
      <c r="B107" s="8">
        <v>106</v>
      </c>
      <c r="C107" s="6">
        <v>17</v>
      </c>
      <c r="D107" s="6" t="s">
        <v>8</v>
      </c>
      <c r="E107" s="6" t="s">
        <v>398</v>
      </c>
      <c r="F107" s="20">
        <v>27823</v>
      </c>
      <c r="G107" s="10">
        <v>27823</v>
      </c>
      <c r="H107" s="11">
        <f t="shared" ca="1" si="17"/>
        <v>45973</v>
      </c>
      <c r="I107" s="5">
        <f t="shared" ca="1" si="18"/>
        <v>49</v>
      </c>
      <c r="J107" s="5" t="s">
        <v>622</v>
      </c>
      <c r="K107" s="6" t="s">
        <v>181</v>
      </c>
      <c r="L107" s="11" t="s">
        <v>553</v>
      </c>
      <c r="M107" s="6" t="s">
        <v>391</v>
      </c>
    </row>
    <row r="108" spans="2:13" x14ac:dyDescent="0.2">
      <c r="B108" s="8">
        <v>107</v>
      </c>
      <c r="C108" s="6">
        <v>2001</v>
      </c>
      <c r="D108" s="6" t="s">
        <v>89</v>
      </c>
      <c r="E108" s="6" t="s">
        <v>399</v>
      </c>
      <c r="F108" s="20">
        <v>27326</v>
      </c>
      <c r="G108" s="10">
        <v>27326</v>
      </c>
      <c r="H108" s="11">
        <f t="shared" ca="1" si="17"/>
        <v>45973</v>
      </c>
      <c r="I108" s="5">
        <f t="shared" ca="1" si="18"/>
        <v>51</v>
      </c>
      <c r="J108" s="5" t="s">
        <v>622</v>
      </c>
      <c r="K108" s="6" t="s">
        <v>205</v>
      </c>
      <c r="L108" s="11" t="s">
        <v>554</v>
      </c>
      <c r="M108" s="6" t="s">
        <v>690</v>
      </c>
    </row>
    <row r="109" spans="2:13" x14ac:dyDescent="0.2">
      <c r="B109" s="8">
        <v>108</v>
      </c>
      <c r="C109" s="6">
        <v>72</v>
      </c>
      <c r="D109" s="6" t="s">
        <v>27</v>
      </c>
      <c r="E109" s="6" t="s">
        <v>185</v>
      </c>
      <c r="F109" s="20">
        <v>25553</v>
      </c>
      <c r="G109" s="10">
        <v>25553</v>
      </c>
      <c r="H109" s="11">
        <f t="shared" ca="1" si="17"/>
        <v>45973</v>
      </c>
      <c r="I109" s="5">
        <f t="shared" ca="1" si="18"/>
        <v>55</v>
      </c>
      <c r="J109" s="5" t="s">
        <v>623</v>
      </c>
      <c r="K109" s="6" t="s">
        <v>417</v>
      </c>
      <c r="L109" s="11" t="s">
        <v>555</v>
      </c>
      <c r="M109" s="6" t="s">
        <v>342</v>
      </c>
    </row>
    <row r="110" spans="2:13" x14ac:dyDescent="0.2">
      <c r="B110" s="8">
        <v>109</v>
      </c>
      <c r="C110" s="6">
        <v>367</v>
      </c>
      <c r="D110" s="6" t="s">
        <v>50</v>
      </c>
      <c r="E110" s="6" t="s">
        <v>400</v>
      </c>
      <c r="F110" s="20">
        <v>28180</v>
      </c>
      <c r="G110" s="10">
        <v>28180</v>
      </c>
      <c r="H110" s="11">
        <f t="shared" ca="1" si="17"/>
        <v>45973</v>
      </c>
      <c r="I110" s="5">
        <f t="shared" ca="1" si="18"/>
        <v>48</v>
      </c>
      <c r="J110" s="5" t="s">
        <v>622</v>
      </c>
      <c r="K110" s="6" t="s">
        <v>401</v>
      </c>
      <c r="L110" s="11" t="s">
        <v>556</v>
      </c>
      <c r="M110" s="6" t="s">
        <v>394</v>
      </c>
    </row>
    <row r="111" spans="2:13" x14ac:dyDescent="0.2">
      <c r="B111" s="8">
        <v>110</v>
      </c>
      <c r="C111" s="6">
        <v>365</v>
      </c>
      <c r="D111" s="6" t="s">
        <v>49</v>
      </c>
      <c r="E111" s="6" t="s">
        <v>402</v>
      </c>
      <c r="F111" s="20">
        <v>28250</v>
      </c>
      <c r="G111" s="10">
        <v>28250</v>
      </c>
      <c r="H111" s="11">
        <f t="shared" ca="1" si="17"/>
        <v>45973</v>
      </c>
      <c r="I111" s="5">
        <f t="shared" ca="1" si="18"/>
        <v>48</v>
      </c>
      <c r="J111" s="5" t="s">
        <v>622</v>
      </c>
      <c r="K111" s="6" t="s">
        <v>604</v>
      </c>
      <c r="L111" s="11" t="s">
        <v>507</v>
      </c>
      <c r="M111" s="6" t="s">
        <v>380</v>
      </c>
    </row>
    <row r="112" spans="2:13" x14ac:dyDescent="0.2">
      <c r="B112" s="8">
        <v>111</v>
      </c>
      <c r="C112" s="6">
        <v>2015</v>
      </c>
      <c r="D112" s="6" t="s">
        <v>97</v>
      </c>
      <c r="E112" s="6" t="s">
        <v>403</v>
      </c>
      <c r="F112" s="20">
        <v>28350</v>
      </c>
      <c r="G112" s="10">
        <v>28350</v>
      </c>
      <c r="H112" s="11">
        <f t="shared" ca="1" si="17"/>
        <v>45973</v>
      </c>
      <c r="I112" s="5">
        <f t="shared" ca="1" si="18"/>
        <v>48</v>
      </c>
      <c r="J112" s="5" t="s">
        <v>623</v>
      </c>
      <c r="K112" s="17" t="s">
        <v>580</v>
      </c>
      <c r="L112" s="11" t="s">
        <v>475</v>
      </c>
      <c r="M112" s="6" t="s">
        <v>361</v>
      </c>
    </row>
    <row r="113" spans="2:13" x14ac:dyDescent="0.2">
      <c r="B113" s="8">
        <v>112</v>
      </c>
      <c r="C113" s="6">
        <v>2202</v>
      </c>
      <c r="D113" s="6" t="s">
        <v>112</v>
      </c>
      <c r="E113" s="6" t="s">
        <v>248</v>
      </c>
      <c r="F113" s="21" t="s">
        <v>557</v>
      </c>
      <c r="G113" s="10">
        <v>29306</v>
      </c>
      <c r="H113" s="11">
        <f t="shared" ref="H113:H119" ca="1" si="19">TODAY()</f>
        <v>45973</v>
      </c>
      <c r="I113" s="5">
        <f t="shared" ref="I113:I119" ca="1" si="20">DATEDIF(G113, H113, "Y")</f>
        <v>45</v>
      </c>
      <c r="J113" s="5" t="s">
        <v>622</v>
      </c>
      <c r="K113" s="6" t="s">
        <v>404</v>
      </c>
      <c r="L113" s="11" t="s">
        <v>558</v>
      </c>
      <c r="M113" s="6" t="s">
        <v>320</v>
      </c>
    </row>
    <row r="114" spans="2:13" x14ac:dyDescent="0.2">
      <c r="B114" s="8">
        <v>113</v>
      </c>
      <c r="C114" s="6">
        <v>465</v>
      </c>
      <c r="D114" s="6" t="s">
        <v>148</v>
      </c>
      <c r="E114" s="6" t="s">
        <v>277</v>
      </c>
      <c r="F114" s="21" t="s">
        <v>559</v>
      </c>
      <c r="G114" s="10">
        <v>29381</v>
      </c>
      <c r="H114" s="11">
        <f t="shared" ca="1" si="19"/>
        <v>45973</v>
      </c>
      <c r="I114" s="5">
        <f t="shared" ca="1" si="20"/>
        <v>45</v>
      </c>
      <c r="J114" s="5" t="s">
        <v>622</v>
      </c>
      <c r="K114" s="6" t="s">
        <v>279</v>
      </c>
      <c r="L114" s="11" t="s">
        <v>461</v>
      </c>
      <c r="M114" s="6" t="s">
        <v>281</v>
      </c>
    </row>
    <row r="115" spans="2:13" x14ac:dyDescent="0.2">
      <c r="B115" s="8">
        <v>114</v>
      </c>
      <c r="C115" s="6">
        <v>304</v>
      </c>
      <c r="D115" s="6" t="s">
        <v>681</v>
      </c>
      <c r="E115" s="6" t="s">
        <v>680</v>
      </c>
      <c r="F115" s="20" t="s">
        <v>683</v>
      </c>
      <c r="G115" s="10">
        <v>31028</v>
      </c>
      <c r="H115" s="11">
        <f t="shared" ca="1" si="19"/>
        <v>45973</v>
      </c>
      <c r="I115" s="5">
        <f t="shared" ca="1" si="20"/>
        <v>40</v>
      </c>
      <c r="J115" s="5" t="s">
        <v>622</v>
      </c>
      <c r="K115" s="6" t="s">
        <v>360</v>
      </c>
      <c r="L115" s="11" t="s">
        <v>684</v>
      </c>
      <c r="M115" s="6" t="s">
        <v>690</v>
      </c>
    </row>
    <row r="116" spans="2:13" x14ac:dyDescent="0.2">
      <c r="B116" s="8">
        <v>115</v>
      </c>
      <c r="C116" s="6">
        <v>477</v>
      </c>
      <c r="D116" s="6" t="s">
        <v>677</v>
      </c>
      <c r="E116" s="6" t="s">
        <v>688</v>
      </c>
      <c r="F116" s="20" t="s">
        <v>678</v>
      </c>
      <c r="G116" s="10">
        <v>31812</v>
      </c>
      <c r="H116" s="11">
        <f t="shared" ca="1" si="19"/>
        <v>45973</v>
      </c>
      <c r="I116" s="5">
        <f t="shared" ca="1" si="20"/>
        <v>38</v>
      </c>
      <c r="J116" s="5" t="s">
        <v>622</v>
      </c>
      <c r="K116" s="6" t="s">
        <v>679</v>
      </c>
      <c r="L116" s="11" t="s">
        <v>672</v>
      </c>
      <c r="M116" s="6" t="s">
        <v>310</v>
      </c>
    </row>
    <row r="117" spans="2:13" x14ac:dyDescent="0.2">
      <c r="B117" s="8">
        <v>116</v>
      </c>
      <c r="C117" s="6">
        <v>1170</v>
      </c>
      <c r="D117" s="6" t="s">
        <v>659</v>
      </c>
      <c r="E117" s="6" t="s">
        <v>660</v>
      </c>
      <c r="F117" s="20" t="s">
        <v>661</v>
      </c>
      <c r="G117" s="10">
        <v>35714</v>
      </c>
      <c r="H117" s="11">
        <f t="shared" ca="1" si="19"/>
        <v>45973</v>
      </c>
      <c r="I117" s="5">
        <f t="shared" ca="1" si="20"/>
        <v>28</v>
      </c>
      <c r="J117" s="5" t="s">
        <v>622</v>
      </c>
      <c r="K117" s="6" t="s">
        <v>247</v>
      </c>
      <c r="L117" s="11" t="s">
        <v>658</v>
      </c>
      <c r="M117" s="6" t="s">
        <v>392</v>
      </c>
    </row>
    <row r="118" spans="2:13" x14ac:dyDescent="0.2">
      <c r="B118" s="8">
        <v>117</v>
      </c>
      <c r="C118" s="6">
        <v>1</v>
      </c>
      <c r="D118" s="6" t="s">
        <v>0</v>
      </c>
      <c r="E118" s="6" t="s">
        <v>407</v>
      </c>
      <c r="F118" s="20">
        <v>30081</v>
      </c>
      <c r="G118" s="10">
        <v>30081</v>
      </c>
      <c r="H118" s="11">
        <f t="shared" ca="1" si="19"/>
        <v>45973</v>
      </c>
      <c r="I118" s="5">
        <f t="shared" ca="1" si="20"/>
        <v>43</v>
      </c>
      <c r="J118" s="5" t="s">
        <v>622</v>
      </c>
      <c r="K118" s="6" t="s">
        <v>408</v>
      </c>
      <c r="L118" s="11" t="s">
        <v>560</v>
      </c>
      <c r="M118" s="6" t="s">
        <v>216</v>
      </c>
    </row>
    <row r="119" spans="2:13" x14ac:dyDescent="0.2">
      <c r="B119" s="8">
        <v>118</v>
      </c>
      <c r="C119" s="6">
        <v>416</v>
      </c>
      <c r="D119" s="6" t="s">
        <v>63</v>
      </c>
      <c r="E119" s="6" t="s">
        <v>177</v>
      </c>
      <c r="F119" s="20">
        <v>29590</v>
      </c>
      <c r="G119" s="10">
        <v>29590</v>
      </c>
      <c r="H119" s="11">
        <f t="shared" ca="1" si="19"/>
        <v>45973</v>
      </c>
      <c r="I119" s="5">
        <f t="shared" ca="1" si="20"/>
        <v>44</v>
      </c>
      <c r="J119" s="5" t="s">
        <v>622</v>
      </c>
      <c r="K119" s="6" t="s">
        <v>178</v>
      </c>
      <c r="L119" s="11" t="s">
        <v>475</v>
      </c>
      <c r="M119" s="6" t="s">
        <v>389</v>
      </c>
    </row>
    <row r="120" spans="2:13" x14ac:dyDescent="0.2">
      <c r="B120" s="8">
        <v>119</v>
      </c>
      <c r="C120" s="6">
        <v>333</v>
      </c>
      <c r="D120" s="6" t="s">
        <v>42</v>
      </c>
      <c r="E120" s="6" t="s">
        <v>217</v>
      </c>
      <c r="F120" s="20">
        <v>30153</v>
      </c>
      <c r="G120" s="10">
        <v>30153</v>
      </c>
      <c r="H120" s="11">
        <f t="shared" ref="H120:H129" ca="1" si="21">TODAY()</f>
        <v>45973</v>
      </c>
      <c r="I120" s="5">
        <f t="shared" ref="I120:I129" ca="1" si="22">DATEDIF(G120, H120, "Y")</f>
        <v>43</v>
      </c>
      <c r="J120" s="5" t="s">
        <v>622</v>
      </c>
      <c r="K120" s="6" t="s">
        <v>231</v>
      </c>
      <c r="L120" s="11" t="s">
        <v>561</v>
      </c>
      <c r="M120" s="6" t="s">
        <v>310</v>
      </c>
    </row>
    <row r="121" spans="2:13" x14ac:dyDescent="0.2">
      <c r="B121" s="8">
        <v>120</v>
      </c>
      <c r="C121" s="6">
        <v>456</v>
      </c>
      <c r="D121" s="6" t="s">
        <v>73</v>
      </c>
      <c r="E121" s="6" t="s">
        <v>239</v>
      </c>
      <c r="F121" s="20">
        <v>30228</v>
      </c>
      <c r="G121" s="10">
        <v>30228</v>
      </c>
      <c r="H121" s="11">
        <f t="shared" ca="1" si="21"/>
        <v>45973</v>
      </c>
      <c r="I121" s="5">
        <f t="shared" ca="1" si="22"/>
        <v>43</v>
      </c>
      <c r="J121" s="5" t="s">
        <v>622</v>
      </c>
      <c r="K121" s="6" t="s">
        <v>377</v>
      </c>
      <c r="L121" s="11" t="s">
        <v>562</v>
      </c>
      <c r="M121" s="6" t="s">
        <v>385</v>
      </c>
    </row>
    <row r="122" spans="2:13" x14ac:dyDescent="0.2">
      <c r="B122" s="8">
        <v>121</v>
      </c>
      <c r="C122" s="6">
        <v>2210</v>
      </c>
      <c r="D122" s="6" t="s">
        <v>119</v>
      </c>
      <c r="E122" s="6" t="s">
        <v>410</v>
      </c>
      <c r="F122" s="20">
        <v>29727</v>
      </c>
      <c r="G122" s="10">
        <v>29727</v>
      </c>
      <c r="H122" s="11">
        <f t="shared" ca="1" si="21"/>
        <v>45973</v>
      </c>
      <c r="I122" s="5">
        <f t="shared" ca="1" si="22"/>
        <v>44</v>
      </c>
      <c r="J122" s="5"/>
      <c r="K122" s="6" t="s">
        <v>269</v>
      </c>
      <c r="L122" s="11" t="s">
        <v>563</v>
      </c>
      <c r="M122" s="6" t="s">
        <v>270</v>
      </c>
    </row>
    <row r="123" spans="2:13" x14ac:dyDescent="0.2">
      <c r="B123" s="8">
        <v>122</v>
      </c>
      <c r="C123" s="6">
        <v>2008</v>
      </c>
      <c r="D123" s="6" t="s">
        <v>92</v>
      </c>
      <c r="E123" s="6" t="s">
        <v>411</v>
      </c>
      <c r="F123" s="20">
        <v>30277</v>
      </c>
      <c r="G123" s="10">
        <v>30277</v>
      </c>
      <c r="H123" s="11">
        <f t="shared" ca="1" si="21"/>
        <v>45973</v>
      </c>
      <c r="I123" s="5">
        <f t="shared" ca="1" si="22"/>
        <v>42</v>
      </c>
      <c r="J123" s="5" t="s">
        <v>623</v>
      </c>
      <c r="K123" s="6" t="s">
        <v>194</v>
      </c>
      <c r="L123" s="11" t="s">
        <v>564</v>
      </c>
      <c r="M123" s="6" t="s">
        <v>266</v>
      </c>
    </row>
    <row r="124" spans="2:13" x14ac:dyDescent="0.2">
      <c r="B124" s="8">
        <v>123</v>
      </c>
      <c r="C124" s="6">
        <v>2242</v>
      </c>
      <c r="D124" s="6" t="s">
        <v>135</v>
      </c>
      <c r="E124" s="6" t="s">
        <v>412</v>
      </c>
      <c r="F124" s="20">
        <v>29780</v>
      </c>
      <c r="G124" s="10">
        <v>29780</v>
      </c>
      <c r="H124" s="11">
        <f t="shared" ca="1" si="21"/>
        <v>45973</v>
      </c>
      <c r="I124" s="5">
        <f t="shared" ca="1" si="22"/>
        <v>44</v>
      </c>
      <c r="J124" s="5" t="s">
        <v>622</v>
      </c>
      <c r="K124" s="6" t="s">
        <v>324</v>
      </c>
      <c r="L124" s="11" t="s">
        <v>565</v>
      </c>
      <c r="M124" s="6" t="s">
        <v>413</v>
      </c>
    </row>
    <row r="125" spans="2:13" x14ac:dyDescent="0.2">
      <c r="B125" s="8">
        <v>124</v>
      </c>
      <c r="C125" s="6">
        <v>2206</v>
      </c>
      <c r="D125" s="6" t="s">
        <v>116</v>
      </c>
      <c r="E125" s="6" t="s">
        <v>566</v>
      </c>
      <c r="F125" s="20">
        <v>30454</v>
      </c>
      <c r="G125" s="10">
        <v>30454</v>
      </c>
      <c r="H125" s="11">
        <f t="shared" ca="1" si="21"/>
        <v>45973</v>
      </c>
      <c r="I125" s="5">
        <f t="shared" ca="1" si="22"/>
        <v>42</v>
      </c>
      <c r="J125" s="5" t="s">
        <v>622</v>
      </c>
      <c r="K125" s="6" t="s">
        <v>255</v>
      </c>
      <c r="L125" s="11" t="s">
        <v>475</v>
      </c>
      <c r="M125" s="6" t="s">
        <v>414</v>
      </c>
    </row>
    <row r="126" spans="2:13" x14ac:dyDescent="0.2">
      <c r="B126" s="8">
        <v>125</v>
      </c>
      <c r="C126" s="6">
        <v>2239</v>
      </c>
      <c r="D126" s="6" t="s">
        <v>133</v>
      </c>
      <c r="E126" s="6" t="s">
        <v>211</v>
      </c>
      <c r="F126" s="20">
        <v>30550</v>
      </c>
      <c r="G126" s="10">
        <v>30550</v>
      </c>
      <c r="H126" s="11">
        <f t="shared" ca="1" si="21"/>
        <v>45973</v>
      </c>
      <c r="I126" s="5">
        <f t="shared" ca="1" si="22"/>
        <v>42</v>
      </c>
      <c r="J126" s="5" t="s">
        <v>622</v>
      </c>
      <c r="K126" s="6" t="s">
        <v>215</v>
      </c>
      <c r="L126" s="11" t="s">
        <v>511</v>
      </c>
      <c r="M126" s="6" t="s">
        <v>216</v>
      </c>
    </row>
    <row r="127" spans="2:13" x14ac:dyDescent="0.2">
      <c r="B127" s="8">
        <v>126</v>
      </c>
      <c r="C127" s="6">
        <v>393</v>
      </c>
      <c r="D127" s="6" t="s">
        <v>55</v>
      </c>
      <c r="E127" s="6" t="s">
        <v>415</v>
      </c>
      <c r="F127" s="20">
        <v>30798</v>
      </c>
      <c r="G127" s="10">
        <v>30798</v>
      </c>
      <c r="H127" s="11">
        <f t="shared" ca="1" si="21"/>
        <v>45973</v>
      </c>
      <c r="I127" s="5">
        <f t="shared" ca="1" si="22"/>
        <v>41</v>
      </c>
      <c r="J127" s="5" t="s">
        <v>624</v>
      </c>
      <c r="K127" s="6" t="s">
        <v>632</v>
      </c>
      <c r="L127" s="11" t="s">
        <v>507</v>
      </c>
      <c r="M127" s="6" t="s">
        <v>416</v>
      </c>
    </row>
    <row r="128" spans="2:13" x14ac:dyDescent="0.2">
      <c r="B128" s="8">
        <v>127</v>
      </c>
      <c r="C128" s="6">
        <v>413</v>
      </c>
      <c r="D128" s="6" t="s">
        <v>61</v>
      </c>
      <c r="E128" s="6" t="s">
        <v>186</v>
      </c>
      <c r="F128" s="20">
        <v>30841</v>
      </c>
      <c r="G128" s="10">
        <v>30841</v>
      </c>
      <c r="H128" s="11">
        <f t="shared" ca="1" si="21"/>
        <v>45973</v>
      </c>
      <c r="I128" s="5">
        <f t="shared" ca="1" si="22"/>
        <v>41</v>
      </c>
      <c r="J128" s="5" t="s">
        <v>623</v>
      </c>
      <c r="K128" s="6" t="s">
        <v>600</v>
      </c>
      <c r="L128" s="11" t="s">
        <v>507</v>
      </c>
      <c r="M128" s="6" t="s">
        <v>342</v>
      </c>
    </row>
    <row r="129" spans="2:13" x14ac:dyDescent="0.2">
      <c r="B129" s="8">
        <v>128</v>
      </c>
      <c r="C129" s="6">
        <v>39</v>
      </c>
      <c r="D129" s="6" t="s">
        <v>20</v>
      </c>
      <c r="E129" s="6" t="s">
        <v>418</v>
      </c>
      <c r="F129" s="20">
        <v>30844</v>
      </c>
      <c r="G129" s="10">
        <v>30844</v>
      </c>
      <c r="H129" s="11">
        <f t="shared" ca="1" si="21"/>
        <v>45973</v>
      </c>
      <c r="I129" s="5">
        <f t="shared" ca="1" si="22"/>
        <v>41</v>
      </c>
      <c r="J129" s="5" t="s">
        <v>622</v>
      </c>
      <c r="K129" s="6" t="s">
        <v>214</v>
      </c>
      <c r="L129" s="11">
        <v>42618</v>
      </c>
      <c r="M129" s="6" t="s">
        <v>381</v>
      </c>
    </row>
    <row r="130" spans="2:13" x14ac:dyDescent="0.2">
      <c r="B130" s="8">
        <v>129</v>
      </c>
      <c r="C130" s="6">
        <v>418</v>
      </c>
      <c r="D130" s="6" t="s">
        <v>64</v>
      </c>
      <c r="E130" s="6" t="s">
        <v>271</v>
      </c>
      <c r="F130" s="20">
        <v>30960</v>
      </c>
      <c r="G130" s="10">
        <v>30960</v>
      </c>
      <c r="H130" s="11">
        <f ca="1">TODAY()</f>
        <v>45973</v>
      </c>
      <c r="I130" s="5">
        <f ca="1">DATEDIF(G130, H130, "Y")</f>
        <v>41</v>
      </c>
      <c r="J130" s="5" t="s">
        <v>630</v>
      </c>
      <c r="K130" s="6" t="s">
        <v>273</v>
      </c>
      <c r="L130" s="11">
        <v>42278</v>
      </c>
      <c r="M130" s="6" t="s">
        <v>689</v>
      </c>
    </row>
    <row r="131" spans="2:13" x14ac:dyDescent="0.2">
      <c r="B131" s="8">
        <v>130</v>
      </c>
      <c r="C131" s="6">
        <v>472</v>
      </c>
      <c r="D131" s="6" t="s">
        <v>151</v>
      </c>
      <c r="E131" s="6" t="s">
        <v>458</v>
      </c>
      <c r="F131" s="21" t="s">
        <v>618</v>
      </c>
      <c r="G131" s="10">
        <v>31204</v>
      </c>
      <c r="H131" s="11">
        <f ca="1">TODAY()</f>
        <v>45973</v>
      </c>
      <c r="I131" s="5">
        <f ca="1">DATEDIF(G131, H131, "Y")</f>
        <v>40</v>
      </c>
      <c r="J131" s="5" t="s">
        <v>622</v>
      </c>
      <c r="K131" s="6" t="s">
        <v>322</v>
      </c>
      <c r="L131" s="11">
        <v>45755</v>
      </c>
      <c r="M131" s="6" t="s">
        <v>316</v>
      </c>
    </row>
    <row r="132" spans="2:13" x14ac:dyDescent="0.2">
      <c r="B132" s="8">
        <v>131</v>
      </c>
      <c r="C132" s="6">
        <v>116</v>
      </c>
      <c r="D132" s="6" t="s">
        <v>32</v>
      </c>
      <c r="E132" s="6" t="s">
        <v>246</v>
      </c>
      <c r="F132" s="20">
        <v>31483</v>
      </c>
      <c r="G132" s="10">
        <v>31483</v>
      </c>
      <c r="H132" s="11">
        <f ca="1">TODAY()</f>
        <v>45973</v>
      </c>
      <c r="I132" s="5">
        <f ca="1">DATEDIF(G132, H132, "Y")</f>
        <v>39</v>
      </c>
      <c r="J132" s="5" t="s">
        <v>622</v>
      </c>
      <c r="K132" s="6" t="s">
        <v>249</v>
      </c>
      <c r="L132" s="11">
        <v>45708</v>
      </c>
      <c r="M132" s="6" t="s">
        <v>392</v>
      </c>
    </row>
    <row r="133" spans="2:13" x14ac:dyDescent="0.2">
      <c r="B133" s="8">
        <v>132</v>
      </c>
      <c r="C133" s="6">
        <v>360</v>
      </c>
      <c r="D133" s="6" t="s">
        <v>48</v>
      </c>
      <c r="E133" s="6" t="s">
        <v>459</v>
      </c>
      <c r="F133" s="20">
        <v>31552</v>
      </c>
      <c r="G133" s="10">
        <v>31552</v>
      </c>
      <c r="H133" s="11">
        <f ca="1">TODAY()</f>
        <v>45973</v>
      </c>
      <c r="I133" s="5">
        <f ca="1">DATEDIF(G133, H133, "Y")</f>
        <v>39</v>
      </c>
      <c r="J133" s="5" t="s">
        <v>622</v>
      </c>
      <c r="K133" s="6" t="s">
        <v>433</v>
      </c>
      <c r="L133" s="11">
        <v>45512</v>
      </c>
      <c r="M133" s="6" t="s">
        <v>266</v>
      </c>
    </row>
    <row r="134" spans="2:13" x14ac:dyDescent="0.2">
      <c r="B134" s="8">
        <v>133</v>
      </c>
      <c r="C134" s="6">
        <v>2246</v>
      </c>
      <c r="D134" s="6" t="s">
        <v>645</v>
      </c>
      <c r="E134" s="6" t="s">
        <v>646</v>
      </c>
      <c r="F134" s="20" t="s">
        <v>647</v>
      </c>
      <c r="G134" s="10">
        <v>31206</v>
      </c>
      <c r="H134" s="11">
        <f ca="1">TODAY()</f>
        <v>45973</v>
      </c>
      <c r="I134" s="5">
        <f ca="1">DATEDIF(G134, H134, "Y")</f>
        <v>40</v>
      </c>
      <c r="J134" s="5" t="s">
        <v>622</v>
      </c>
      <c r="K134" s="6" t="s">
        <v>188</v>
      </c>
      <c r="L134" s="11" t="s">
        <v>648</v>
      </c>
      <c r="M134" s="6" t="s">
        <v>333</v>
      </c>
    </row>
    <row r="135" spans="2:13" x14ac:dyDescent="0.2">
      <c r="B135" s="8">
        <v>134</v>
      </c>
      <c r="C135" s="6">
        <v>2022</v>
      </c>
      <c r="D135" s="9" t="s">
        <v>605</v>
      </c>
      <c r="E135" s="6" t="s">
        <v>606</v>
      </c>
      <c r="F135" s="20" t="s">
        <v>608</v>
      </c>
      <c r="G135" s="10">
        <v>31750</v>
      </c>
      <c r="H135" s="11">
        <f t="shared" ref="H135:H143" ca="1" si="23">TODAY()</f>
        <v>45973</v>
      </c>
      <c r="I135" s="5">
        <f t="shared" ref="I135:I143" ca="1" si="24">DATEDIF(G135, H135, "Y")</f>
        <v>38</v>
      </c>
      <c r="J135" s="5" t="s">
        <v>622</v>
      </c>
      <c r="K135" s="6" t="s">
        <v>232</v>
      </c>
      <c r="L135" s="11" t="s">
        <v>607</v>
      </c>
      <c r="M135" s="6" t="s">
        <v>385</v>
      </c>
    </row>
    <row r="136" spans="2:13" x14ac:dyDescent="0.2">
      <c r="B136" s="8">
        <v>135</v>
      </c>
      <c r="C136" s="6">
        <v>383</v>
      </c>
      <c r="D136" s="6" t="s">
        <v>52</v>
      </c>
      <c r="E136" s="6" t="s">
        <v>457</v>
      </c>
      <c r="F136" s="20">
        <v>31883</v>
      </c>
      <c r="G136" s="10">
        <v>31883</v>
      </c>
      <c r="H136" s="11">
        <f t="shared" ca="1" si="23"/>
        <v>45973</v>
      </c>
      <c r="I136" s="5">
        <f t="shared" ca="1" si="24"/>
        <v>38</v>
      </c>
      <c r="J136" s="5" t="s">
        <v>622</v>
      </c>
      <c r="K136" s="6" t="s">
        <v>197</v>
      </c>
      <c r="L136" s="11">
        <v>43752</v>
      </c>
      <c r="M136" s="6" t="s">
        <v>199</v>
      </c>
    </row>
    <row r="137" spans="2:13" x14ac:dyDescent="0.2">
      <c r="B137" s="8">
        <v>136</v>
      </c>
      <c r="C137" s="6">
        <v>491</v>
      </c>
      <c r="D137" s="6" t="s">
        <v>82</v>
      </c>
      <c r="E137" s="6" t="s">
        <v>423</v>
      </c>
      <c r="F137" s="20">
        <v>31999</v>
      </c>
      <c r="G137" s="10">
        <v>31999</v>
      </c>
      <c r="H137" s="11">
        <f t="shared" ca="1" si="23"/>
        <v>45973</v>
      </c>
      <c r="I137" s="5">
        <f t="shared" ca="1" si="24"/>
        <v>38</v>
      </c>
      <c r="J137" s="5" t="s">
        <v>623</v>
      </c>
      <c r="K137" s="6" t="s">
        <v>427</v>
      </c>
      <c r="L137" s="11">
        <v>44046</v>
      </c>
      <c r="M137" s="6" t="s">
        <v>428</v>
      </c>
    </row>
    <row r="138" spans="2:13" x14ac:dyDescent="0.2">
      <c r="B138" s="8">
        <v>137</v>
      </c>
      <c r="C138" s="6">
        <v>372</v>
      </c>
      <c r="D138" s="6" t="s">
        <v>155</v>
      </c>
      <c r="E138" s="6" t="s">
        <v>466</v>
      </c>
      <c r="F138" s="20">
        <v>32078</v>
      </c>
      <c r="G138" s="10">
        <v>32078</v>
      </c>
      <c r="H138" s="11">
        <f t="shared" ca="1" si="23"/>
        <v>45973</v>
      </c>
      <c r="I138" s="5">
        <f t="shared" ca="1" si="24"/>
        <v>38</v>
      </c>
      <c r="J138" s="5" t="s">
        <v>622</v>
      </c>
      <c r="K138" s="6" t="s">
        <v>434</v>
      </c>
      <c r="L138" s="11">
        <v>45782</v>
      </c>
      <c r="M138" s="6" t="s">
        <v>320</v>
      </c>
    </row>
    <row r="139" spans="2:13" x14ac:dyDescent="0.2">
      <c r="B139" s="8">
        <v>138</v>
      </c>
      <c r="C139" s="6">
        <v>2056</v>
      </c>
      <c r="D139" s="6" t="s">
        <v>109</v>
      </c>
      <c r="E139" s="6" t="s">
        <v>203</v>
      </c>
      <c r="F139" s="20">
        <v>32185</v>
      </c>
      <c r="G139" s="10">
        <v>32185</v>
      </c>
      <c r="H139" s="11">
        <f t="shared" ca="1" si="23"/>
        <v>45973</v>
      </c>
      <c r="I139" s="5">
        <f t="shared" ca="1" si="24"/>
        <v>37</v>
      </c>
      <c r="J139" s="5" t="s">
        <v>622</v>
      </c>
      <c r="K139" s="6" t="s">
        <v>191</v>
      </c>
      <c r="L139" s="11">
        <v>45475</v>
      </c>
      <c r="M139" s="6" t="s">
        <v>310</v>
      </c>
    </row>
    <row r="140" spans="2:13" x14ac:dyDescent="0.2">
      <c r="B140" s="8">
        <v>139</v>
      </c>
      <c r="C140" s="6">
        <v>2208</v>
      </c>
      <c r="D140" s="7" t="s">
        <v>609</v>
      </c>
      <c r="E140" s="6" t="s">
        <v>610</v>
      </c>
      <c r="F140" s="20" t="s">
        <v>616</v>
      </c>
      <c r="G140" s="10">
        <v>34310</v>
      </c>
      <c r="H140" s="11">
        <f t="shared" ca="1" si="23"/>
        <v>45973</v>
      </c>
      <c r="I140" s="5">
        <f t="shared" ca="1" si="24"/>
        <v>31</v>
      </c>
      <c r="J140" s="5" t="s">
        <v>623</v>
      </c>
      <c r="K140" s="6" t="s">
        <v>397</v>
      </c>
      <c r="L140" s="11" t="s">
        <v>611</v>
      </c>
      <c r="M140" s="6" t="s">
        <v>413</v>
      </c>
    </row>
    <row r="141" spans="2:13" x14ac:dyDescent="0.2">
      <c r="B141" s="8">
        <v>140</v>
      </c>
      <c r="C141" s="6">
        <v>2220</v>
      </c>
      <c r="D141" s="6" t="s">
        <v>124</v>
      </c>
      <c r="E141" s="6" t="s">
        <v>226</v>
      </c>
      <c r="F141" s="20">
        <v>32516</v>
      </c>
      <c r="G141" s="10">
        <v>32516</v>
      </c>
      <c r="H141" s="11">
        <f t="shared" ca="1" si="23"/>
        <v>45973</v>
      </c>
      <c r="I141" s="5">
        <f t="shared" ca="1" si="24"/>
        <v>36</v>
      </c>
      <c r="J141" s="5" t="s">
        <v>630</v>
      </c>
      <c r="K141" s="6" t="s">
        <v>580</v>
      </c>
      <c r="L141" s="11">
        <v>44643</v>
      </c>
      <c r="M141" s="6" t="s">
        <v>361</v>
      </c>
    </row>
    <row r="142" spans="2:13" x14ac:dyDescent="0.2">
      <c r="B142" s="8">
        <v>141</v>
      </c>
      <c r="C142" s="6">
        <v>2019</v>
      </c>
      <c r="D142" s="6" t="s">
        <v>101</v>
      </c>
      <c r="E142" s="6" t="s">
        <v>449</v>
      </c>
      <c r="F142" s="20">
        <v>32284</v>
      </c>
      <c r="G142" s="10">
        <v>32284</v>
      </c>
      <c r="H142" s="11">
        <f t="shared" ca="1" si="23"/>
        <v>45973</v>
      </c>
      <c r="I142" s="5">
        <f t="shared" ca="1" si="24"/>
        <v>37</v>
      </c>
      <c r="J142" s="5" t="s">
        <v>622</v>
      </c>
      <c r="K142" s="6" t="s">
        <v>409</v>
      </c>
      <c r="L142" s="11">
        <v>41913</v>
      </c>
      <c r="M142" s="6" t="s">
        <v>244</v>
      </c>
    </row>
    <row r="143" spans="2:13" x14ac:dyDescent="0.2">
      <c r="B143" s="8">
        <v>142</v>
      </c>
      <c r="C143" s="6">
        <v>12</v>
      </c>
      <c r="D143" s="6" t="s">
        <v>4</v>
      </c>
      <c r="E143" s="6" t="s">
        <v>274</v>
      </c>
      <c r="F143" s="20">
        <v>32702</v>
      </c>
      <c r="G143" s="10">
        <v>32702</v>
      </c>
      <c r="H143" s="11">
        <f t="shared" ca="1" si="23"/>
        <v>45973</v>
      </c>
      <c r="I143" s="5">
        <f t="shared" ca="1" si="24"/>
        <v>36</v>
      </c>
      <c r="J143" s="5" t="s">
        <v>622</v>
      </c>
      <c r="K143" s="6" t="s">
        <v>275</v>
      </c>
      <c r="L143" s="11">
        <v>45475</v>
      </c>
      <c r="M143" s="6" t="s">
        <v>413</v>
      </c>
    </row>
    <row r="144" spans="2:13" x14ac:dyDescent="0.2">
      <c r="B144" s="8">
        <v>143</v>
      </c>
      <c r="C144" s="6">
        <v>41</v>
      </c>
      <c r="D144" s="6" t="s">
        <v>308</v>
      </c>
      <c r="E144" s="6" t="s">
        <v>571</v>
      </c>
      <c r="F144" s="20" t="s">
        <v>572</v>
      </c>
      <c r="G144" s="10">
        <v>33325</v>
      </c>
      <c r="H144" s="11">
        <f t="shared" ref="H144:H158" ca="1" si="25">TODAY()</f>
        <v>45973</v>
      </c>
      <c r="I144" s="5">
        <f t="shared" ref="I144:I158" ca="1" si="26">DATEDIF(G144, H144, "Y")</f>
        <v>34</v>
      </c>
      <c r="J144" s="5"/>
      <c r="K144" s="6" t="s">
        <v>255</v>
      </c>
      <c r="L144" s="11" t="s">
        <v>570</v>
      </c>
      <c r="M144" s="6" t="s">
        <v>268</v>
      </c>
    </row>
    <row r="145" spans="2:13" x14ac:dyDescent="0.2">
      <c r="B145" s="8">
        <v>144</v>
      </c>
      <c r="C145" s="6">
        <v>117</v>
      </c>
      <c r="D145" s="6" t="s">
        <v>33</v>
      </c>
      <c r="E145" s="6" t="s">
        <v>212</v>
      </c>
      <c r="F145" s="20">
        <v>33316</v>
      </c>
      <c r="G145" s="10">
        <v>33316</v>
      </c>
      <c r="H145" s="11">
        <f t="shared" ca="1" si="25"/>
        <v>45973</v>
      </c>
      <c r="I145" s="5">
        <f t="shared" ca="1" si="26"/>
        <v>34</v>
      </c>
      <c r="J145" s="5" t="s">
        <v>622</v>
      </c>
      <c r="K145" s="6" t="s">
        <v>286</v>
      </c>
      <c r="L145" s="11">
        <v>45475</v>
      </c>
      <c r="M145" s="6" t="s">
        <v>380</v>
      </c>
    </row>
    <row r="146" spans="2:13" x14ac:dyDescent="0.2">
      <c r="B146" s="8">
        <v>145</v>
      </c>
      <c r="C146" s="6">
        <v>4</v>
      </c>
      <c r="D146" s="6" t="s">
        <v>2</v>
      </c>
      <c r="E146" s="6" t="s">
        <v>278</v>
      </c>
      <c r="F146" s="20">
        <v>33032</v>
      </c>
      <c r="G146" s="10">
        <v>33032</v>
      </c>
      <c r="H146" s="11">
        <f t="shared" ca="1" si="25"/>
        <v>45973</v>
      </c>
      <c r="I146" s="5">
        <f t="shared" ca="1" si="26"/>
        <v>35</v>
      </c>
      <c r="J146" s="5" t="s">
        <v>622</v>
      </c>
      <c r="K146" s="6" t="s">
        <v>225</v>
      </c>
      <c r="L146" s="11">
        <v>43801</v>
      </c>
      <c r="M146" s="6" t="s">
        <v>281</v>
      </c>
    </row>
    <row r="147" spans="2:13" x14ac:dyDescent="0.2">
      <c r="B147" s="8">
        <v>146</v>
      </c>
      <c r="C147" s="6">
        <v>36</v>
      </c>
      <c r="D147" s="6" t="s">
        <v>18</v>
      </c>
      <c r="E147" s="6" t="s">
        <v>453</v>
      </c>
      <c r="F147" s="20">
        <v>33528</v>
      </c>
      <c r="G147" s="10">
        <v>33528</v>
      </c>
      <c r="H147" s="11">
        <f t="shared" ca="1" si="25"/>
        <v>45973</v>
      </c>
      <c r="I147" s="5">
        <f t="shared" ca="1" si="26"/>
        <v>34</v>
      </c>
      <c r="J147" s="5" t="s">
        <v>622</v>
      </c>
      <c r="K147" s="6" t="s">
        <v>174</v>
      </c>
      <c r="L147" s="11">
        <v>45617</v>
      </c>
      <c r="M147" s="6" t="s">
        <v>266</v>
      </c>
    </row>
    <row r="148" spans="2:13" x14ac:dyDescent="0.2">
      <c r="B148" s="8">
        <v>147</v>
      </c>
      <c r="C148" s="6">
        <v>406</v>
      </c>
      <c r="D148" s="6" t="s">
        <v>58</v>
      </c>
      <c r="E148" s="6" t="s">
        <v>240</v>
      </c>
      <c r="F148" s="20">
        <v>33590</v>
      </c>
      <c r="G148" s="10">
        <v>33590</v>
      </c>
      <c r="H148" s="11">
        <f t="shared" ca="1" si="25"/>
        <v>45973</v>
      </c>
      <c r="I148" s="5">
        <f t="shared" ca="1" si="26"/>
        <v>33</v>
      </c>
      <c r="J148" s="5" t="s">
        <v>622</v>
      </c>
      <c r="K148" s="6" t="s">
        <v>241</v>
      </c>
      <c r="L148" s="11">
        <v>44257</v>
      </c>
      <c r="M148" s="6" t="s">
        <v>406</v>
      </c>
    </row>
    <row r="149" spans="2:13" x14ac:dyDescent="0.2">
      <c r="B149" s="8">
        <v>148</v>
      </c>
      <c r="C149" s="6">
        <v>485</v>
      </c>
      <c r="D149" s="6" t="s">
        <v>81</v>
      </c>
      <c r="E149" s="6" t="s">
        <v>442</v>
      </c>
      <c r="F149" s="20">
        <v>33582</v>
      </c>
      <c r="G149" s="10">
        <v>33582</v>
      </c>
      <c r="H149" s="11">
        <f t="shared" ca="1" si="25"/>
        <v>45973</v>
      </c>
      <c r="I149" s="5">
        <f t="shared" ca="1" si="26"/>
        <v>33</v>
      </c>
      <c r="J149" s="5" t="s">
        <v>622</v>
      </c>
      <c r="K149" s="6" t="s">
        <v>225</v>
      </c>
      <c r="L149" s="11">
        <v>44105</v>
      </c>
      <c r="M149" s="6" t="s">
        <v>406</v>
      </c>
    </row>
    <row r="150" spans="2:13" x14ac:dyDescent="0.2">
      <c r="B150" s="8">
        <v>149</v>
      </c>
      <c r="C150" s="6">
        <v>2035</v>
      </c>
      <c r="D150" s="6" t="s">
        <v>108</v>
      </c>
      <c r="E150" s="6" t="s">
        <v>272</v>
      </c>
      <c r="F150" s="20">
        <v>33299</v>
      </c>
      <c r="G150" s="10">
        <v>33299</v>
      </c>
      <c r="H150" s="11">
        <f t="shared" ca="1" si="25"/>
        <v>45973</v>
      </c>
      <c r="I150" s="5">
        <f t="shared" ca="1" si="26"/>
        <v>34</v>
      </c>
      <c r="J150" s="5" t="s">
        <v>622</v>
      </c>
      <c r="K150" s="6" t="s">
        <v>273</v>
      </c>
      <c r="L150" s="11">
        <v>43269</v>
      </c>
      <c r="M150" s="6" t="s">
        <v>689</v>
      </c>
    </row>
    <row r="151" spans="2:13" x14ac:dyDescent="0.2">
      <c r="B151" s="8">
        <v>150</v>
      </c>
      <c r="C151" s="6">
        <v>384</v>
      </c>
      <c r="D151" s="6" t="s">
        <v>53</v>
      </c>
      <c r="E151" s="6" t="s">
        <v>450</v>
      </c>
      <c r="F151" s="20">
        <v>33804</v>
      </c>
      <c r="G151" s="10">
        <v>33804</v>
      </c>
      <c r="H151" s="11">
        <f t="shared" ca="1" si="25"/>
        <v>45973</v>
      </c>
      <c r="I151" s="5">
        <f t="shared" ca="1" si="26"/>
        <v>33</v>
      </c>
      <c r="J151" s="5" t="s">
        <v>629</v>
      </c>
      <c r="K151" s="6" t="s">
        <v>250</v>
      </c>
      <c r="L151" s="11">
        <v>42324</v>
      </c>
      <c r="M151" s="6" t="s">
        <v>392</v>
      </c>
    </row>
    <row r="152" spans="2:13" x14ac:dyDescent="0.2">
      <c r="B152" s="8">
        <v>151</v>
      </c>
      <c r="C152" s="6">
        <v>2209</v>
      </c>
      <c r="D152" s="6" t="s">
        <v>118</v>
      </c>
      <c r="E152" s="6" t="s">
        <v>204</v>
      </c>
      <c r="F152" s="20">
        <v>34016</v>
      </c>
      <c r="G152" s="10">
        <v>34016</v>
      </c>
      <c r="H152" s="11">
        <f t="shared" ca="1" si="25"/>
        <v>45973</v>
      </c>
      <c r="I152" s="5">
        <f t="shared" ca="1" si="26"/>
        <v>32</v>
      </c>
      <c r="J152" s="5" t="s">
        <v>622</v>
      </c>
      <c r="K152" s="6" t="s">
        <v>205</v>
      </c>
      <c r="L152" s="11">
        <v>45520</v>
      </c>
      <c r="M152" s="6" t="s">
        <v>690</v>
      </c>
    </row>
    <row r="153" spans="2:13" x14ac:dyDescent="0.2">
      <c r="B153" s="8">
        <v>152</v>
      </c>
      <c r="C153" s="6">
        <v>2031</v>
      </c>
      <c r="D153" s="6" t="s">
        <v>105</v>
      </c>
      <c r="E153" s="6" t="s">
        <v>419</v>
      </c>
      <c r="F153" s="20">
        <v>34036</v>
      </c>
      <c r="G153" s="10">
        <v>34036</v>
      </c>
      <c r="H153" s="11">
        <f t="shared" ca="1" si="25"/>
        <v>45973</v>
      </c>
      <c r="I153" s="5">
        <f t="shared" ca="1" si="26"/>
        <v>32</v>
      </c>
      <c r="J153" s="5" t="s">
        <v>622</v>
      </c>
      <c r="K153" s="6"/>
      <c r="L153" s="11">
        <v>44699</v>
      </c>
      <c r="M153" s="6" t="s">
        <v>310</v>
      </c>
    </row>
    <row r="154" spans="2:13" x14ac:dyDescent="0.2">
      <c r="B154" s="8">
        <v>153</v>
      </c>
      <c r="C154" s="6">
        <v>136</v>
      </c>
      <c r="D154" s="6" t="s">
        <v>156</v>
      </c>
      <c r="E154" s="6" t="s">
        <v>242</v>
      </c>
      <c r="F154" s="20">
        <v>34066</v>
      </c>
      <c r="G154" s="10">
        <v>34066</v>
      </c>
      <c r="H154" s="11">
        <f t="shared" ca="1" si="25"/>
        <v>45973</v>
      </c>
      <c r="I154" s="5">
        <f t="shared" ca="1" si="26"/>
        <v>32</v>
      </c>
      <c r="J154" s="5" t="s">
        <v>622</v>
      </c>
      <c r="K154" s="6" t="s">
        <v>233</v>
      </c>
      <c r="L154" s="11">
        <v>45791</v>
      </c>
      <c r="M154" s="6" t="s">
        <v>385</v>
      </c>
    </row>
    <row r="155" spans="2:13" x14ac:dyDescent="0.2">
      <c r="B155" s="8">
        <v>154</v>
      </c>
      <c r="C155" s="6">
        <v>300</v>
      </c>
      <c r="D155" s="6" t="s">
        <v>37</v>
      </c>
      <c r="E155" s="6" t="s">
        <v>213</v>
      </c>
      <c r="F155" s="21" t="s">
        <v>467</v>
      </c>
      <c r="G155" s="10">
        <v>34097</v>
      </c>
      <c r="H155" s="11">
        <f t="shared" ca="1" si="25"/>
        <v>45973</v>
      </c>
      <c r="I155" s="5">
        <f t="shared" ca="1" si="26"/>
        <v>32</v>
      </c>
      <c r="J155" s="5" t="s">
        <v>623</v>
      </c>
      <c r="K155" s="6" t="s">
        <v>214</v>
      </c>
      <c r="L155" s="11">
        <v>45555</v>
      </c>
      <c r="M155" s="6" t="s">
        <v>380</v>
      </c>
    </row>
    <row r="156" spans="2:13" x14ac:dyDescent="0.2">
      <c r="B156" s="8">
        <v>155</v>
      </c>
      <c r="C156" s="6">
        <v>45</v>
      </c>
      <c r="D156" s="7" t="s">
        <v>612</v>
      </c>
      <c r="E156" s="6" t="s">
        <v>613</v>
      </c>
      <c r="F156" s="21" t="s">
        <v>620</v>
      </c>
      <c r="G156" s="10">
        <v>32624</v>
      </c>
      <c r="H156" s="11">
        <f t="shared" ca="1" si="25"/>
        <v>45973</v>
      </c>
      <c r="I156" s="5">
        <f t="shared" ca="1" si="26"/>
        <v>36</v>
      </c>
      <c r="J156" s="5" t="s">
        <v>622</v>
      </c>
      <c r="K156" s="6" t="s">
        <v>397</v>
      </c>
      <c r="L156" s="11" t="s">
        <v>611</v>
      </c>
      <c r="M156" s="6" t="s">
        <v>413</v>
      </c>
    </row>
    <row r="157" spans="2:13" x14ac:dyDescent="0.2">
      <c r="B157" s="8">
        <v>156</v>
      </c>
      <c r="C157" s="6">
        <v>2222</v>
      </c>
      <c r="D157" s="7" t="s">
        <v>614</v>
      </c>
      <c r="E157" s="6" t="s">
        <v>615</v>
      </c>
      <c r="F157" s="21" t="s">
        <v>619</v>
      </c>
      <c r="G157" s="10">
        <v>32927</v>
      </c>
      <c r="H157" s="11">
        <f t="shared" ca="1" si="25"/>
        <v>45973</v>
      </c>
      <c r="I157" s="5">
        <f t="shared" ca="1" si="26"/>
        <v>35</v>
      </c>
      <c r="J157" s="5"/>
      <c r="K157" s="7" t="s">
        <v>230</v>
      </c>
      <c r="L157" s="11" t="s">
        <v>611</v>
      </c>
      <c r="M157" s="6" t="s">
        <v>350</v>
      </c>
    </row>
    <row r="158" spans="2:13" x14ac:dyDescent="0.2">
      <c r="B158" s="8">
        <v>157</v>
      </c>
      <c r="C158" s="6">
        <v>357</v>
      </c>
      <c r="D158" s="6" t="s">
        <v>655</v>
      </c>
      <c r="E158" s="6" t="s">
        <v>656</v>
      </c>
      <c r="F158" s="21" t="s">
        <v>657</v>
      </c>
      <c r="G158" s="10">
        <v>35952</v>
      </c>
      <c r="H158" s="11">
        <f t="shared" ca="1" si="25"/>
        <v>45973</v>
      </c>
      <c r="I158" s="5">
        <f t="shared" ca="1" si="26"/>
        <v>27</v>
      </c>
      <c r="J158" s="5" t="s">
        <v>622</v>
      </c>
      <c r="K158" s="6" t="s">
        <v>397</v>
      </c>
      <c r="L158" s="11" t="s">
        <v>658</v>
      </c>
      <c r="M158" s="6" t="s">
        <v>381</v>
      </c>
    </row>
    <row r="159" spans="2:13" x14ac:dyDescent="0.2">
      <c r="B159" s="8">
        <v>158</v>
      </c>
      <c r="C159" s="6">
        <v>2254</v>
      </c>
      <c r="D159" s="6" t="s">
        <v>567</v>
      </c>
      <c r="E159" s="6" t="s">
        <v>568</v>
      </c>
      <c r="F159" s="20" t="s">
        <v>569</v>
      </c>
      <c r="G159" s="10">
        <v>34766</v>
      </c>
      <c r="H159" s="11">
        <f ca="1">TODAY()</f>
        <v>45973</v>
      </c>
      <c r="I159" s="5">
        <f ca="1">DATEDIF(G159, H159, "Y")</f>
        <v>30</v>
      </c>
      <c r="J159" s="5"/>
      <c r="K159" s="6" t="s">
        <v>447</v>
      </c>
      <c r="L159" s="11" t="s">
        <v>570</v>
      </c>
      <c r="M159" s="6" t="s">
        <v>236</v>
      </c>
    </row>
    <row r="160" spans="2:13" x14ac:dyDescent="0.2">
      <c r="B160" s="8">
        <v>159</v>
      </c>
      <c r="C160" s="6">
        <v>355</v>
      </c>
      <c r="D160" s="6" t="s">
        <v>46</v>
      </c>
      <c r="E160" s="6" t="s">
        <v>445</v>
      </c>
      <c r="F160" s="20">
        <v>34681</v>
      </c>
      <c r="G160" s="10">
        <v>34681</v>
      </c>
      <c r="H160" s="11">
        <f ca="1">TODAY()</f>
        <v>45973</v>
      </c>
      <c r="I160" s="5">
        <f ca="1">DATEDIF(G160, H160, "Y")</f>
        <v>30</v>
      </c>
      <c r="J160" s="5" t="s">
        <v>622</v>
      </c>
      <c r="K160" s="6" t="s">
        <v>448</v>
      </c>
      <c r="L160" s="11">
        <v>45621</v>
      </c>
      <c r="M160" s="6" t="s">
        <v>350</v>
      </c>
    </row>
    <row r="161" spans="2:13" x14ac:dyDescent="0.2">
      <c r="B161" s="8">
        <v>160</v>
      </c>
      <c r="C161" s="6">
        <v>442</v>
      </c>
      <c r="D161" s="6" t="s">
        <v>70</v>
      </c>
      <c r="E161" s="6" t="s">
        <v>451</v>
      </c>
      <c r="F161" s="20">
        <v>34576</v>
      </c>
      <c r="G161" s="10">
        <v>34576</v>
      </c>
      <c r="H161" s="11">
        <f ca="1">TODAY()</f>
        <v>45973</v>
      </c>
      <c r="I161" s="5">
        <f ca="1">DATEDIF(G161, H161, "Y")</f>
        <v>31</v>
      </c>
      <c r="J161" s="5" t="s">
        <v>622</v>
      </c>
      <c r="K161" s="6" t="s">
        <v>280</v>
      </c>
      <c r="L161" s="11">
        <v>45621</v>
      </c>
      <c r="M161" s="6" t="s">
        <v>281</v>
      </c>
    </row>
    <row r="162" spans="2:13" x14ac:dyDescent="0.2">
      <c r="B162" s="8">
        <v>161</v>
      </c>
      <c r="C162" s="6">
        <v>2211</v>
      </c>
      <c r="D162" s="6" t="s">
        <v>120</v>
      </c>
      <c r="E162" s="6" t="s">
        <v>223</v>
      </c>
      <c r="F162" s="20">
        <v>35222</v>
      </c>
      <c r="G162" s="10">
        <v>35222</v>
      </c>
      <c r="H162" s="11">
        <f t="shared" ref="H162:H168" ca="1" si="27">TODAY()</f>
        <v>45973</v>
      </c>
      <c r="I162" s="5">
        <f t="shared" ref="I162:I168" ca="1" si="28">DATEDIF(G162, H162, "Y")</f>
        <v>29</v>
      </c>
      <c r="J162" s="5" t="s">
        <v>623</v>
      </c>
      <c r="K162" s="6" t="s">
        <v>601</v>
      </c>
      <c r="L162" s="11">
        <v>43745</v>
      </c>
      <c r="M162" s="6" t="s">
        <v>406</v>
      </c>
    </row>
    <row r="163" spans="2:13" x14ac:dyDescent="0.2">
      <c r="B163" s="8">
        <v>162</v>
      </c>
      <c r="C163" s="6">
        <v>2225</v>
      </c>
      <c r="D163" s="6" t="s">
        <v>691</v>
      </c>
      <c r="E163" s="6" t="s">
        <v>709</v>
      </c>
      <c r="F163" s="21" t="s">
        <v>707</v>
      </c>
      <c r="G163" s="10">
        <v>36801</v>
      </c>
      <c r="H163" s="11">
        <f t="shared" ca="1" si="27"/>
        <v>45973</v>
      </c>
      <c r="I163" s="5">
        <f t="shared" ca="1" si="28"/>
        <v>25</v>
      </c>
      <c r="J163" s="5" t="s">
        <v>630</v>
      </c>
      <c r="K163" s="6" t="s">
        <v>710</v>
      </c>
      <c r="L163" s="11" t="s">
        <v>672</v>
      </c>
      <c r="M163" s="6" t="s">
        <v>689</v>
      </c>
    </row>
    <row r="164" spans="2:13" x14ac:dyDescent="0.2">
      <c r="B164" s="8">
        <v>163</v>
      </c>
      <c r="C164" s="6">
        <v>423</v>
      </c>
      <c r="D164" s="6" t="s">
        <v>67</v>
      </c>
      <c r="E164" s="6" t="s">
        <v>175</v>
      </c>
      <c r="F164" s="20">
        <v>35351</v>
      </c>
      <c r="G164" s="10">
        <v>35351</v>
      </c>
      <c r="H164" s="11">
        <f t="shared" ca="1" si="27"/>
        <v>45973</v>
      </c>
      <c r="I164" s="5">
        <f t="shared" ca="1" si="28"/>
        <v>29</v>
      </c>
      <c r="J164" s="5" t="s">
        <v>622</v>
      </c>
      <c r="K164" s="6" t="s">
        <v>435</v>
      </c>
      <c r="L164" s="11">
        <v>45527</v>
      </c>
      <c r="M164" s="6" t="s">
        <v>364</v>
      </c>
    </row>
    <row r="165" spans="2:13" x14ac:dyDescent="0.2">
      <c r="B165" s="8">
        <v>164</v>
      </c>
      <c r="C165" s="6">
        <v>2215</v>
      </c>
      <c r="D165" s="6" t="s">
        <v>122</v>
      </c>
      <c r="E165" s="6" t="s">
        <v>446</v>
      </c>
      <c r="F165" s="20">
        <v>35189</v>
      </c>
      <c r="G165" s="10">
        <v>35189</v>
      </c>
      <c r="H165" s="11">
        <f t="shared" ca="1" si="27"/>
        <v>45973</v>
      </c>
      <c r="I165" s="5">
        <f t="shared" ca="1" si="28"/>
        <v>29</v>
      </c>
      <c r="J165" s="5" t="s">
        <v>622</v>
      </c>
      <c r="K165" s="6" t="s">
        <v>447</v>
      </c>
      <c r="L165" s="11">
        <v>45475</v>
      </c>
      <c r="M165" s="6" t="s">
        <v>350</v>
      </c>
    </row>
    <row r="166" spans="2:13" x14ac:dyDescent="0.2">
      <c r="B166" s="8">
        <v>165</v>
      </c>
      <c r="C166" s="6">
        <v>2200</v>
      </c>
      <c r="D166" s="6" t="s">
        <v>581</v>
      </c>
      <c r="E166" s="6" t="s">
        <v>582</v>
      </c>
      <c r="F166" s="20" t="s">
        <v>583</v>
      </c>
      <c r="G166" s="10">
        <v>35560</v>
      </c>
      <c r="H166" s="11">
        <f t="shared" ca="1" si="27"/>
        <v>45973</v>
      </c>
      <c r="I166" s="5">
        <f t="shared" ca="1" si="28"/>
        <v>28</v>
      </c>
      <c r="J166" s="5" t="s">
        <v>623</v>
      </c>
      <c r="K166" s="6" t="s">
        <v>584</v>
      </c>
      <c r="L166" s="11" t="s">
        <v>576</v>
      </c>
      <c r="M166" s="6" t="s">
        <v>413</v>
      </c>
    </row>
    <row r="167" spans="2:13" x14ac:dyDescent="0.2">
      <c r="B167" s="8">
        <v>166</v>
      </c>
      <c r="C167" s="6">
        <v>639</v>
      </c>
      <c r="D167" s="6" t="s">
        <v>649</v>
      </c>
      <c r="E167" s="6" t="s">
        <v>650</v>
      </c>
      <c r="F167" s="21" t="s">
        <v>651</v>
      </c>
      <c r="G167" s="10">
        <v>35536</v>
      </c>
      <c r="H167" s="11">
        <f t="shared" ca="1" si="27"/>
        <v>45973</v>
      </c>
      <c r="I167" s="5">
        <f t="shared" ca="1" si="28"/>
        <v>28</v>
      </c>
      <c r="J167" s="5" t="s">
        <v>623</v>
      </c>
      <c r="K167" s="6" t="s">
        <v>195</v>
      </c>
      <c r="L167" s="11" t="s">
        <v>648</v>
      </c>
      <c r="M167" s="6" t="s">
        <v>199</v>
      </c>
    </row>
    <row r="168" spans="2:13" x14ac:dyDescent="0.2">
      <c r="B168" s="8">
        <v>167</v>
      </c>
      <c r="C168" s="6">
        <v>9</v>
      </c>
      <c r="D168" s="6" t="s">
        <v>589</v>
      </c>
      <c r="E168" s="6" t="s">
        <v>590</v>
      </c>
      <c r="F168" s="21" t="s">
        <v>591</v>
      </c>
      <c r="G168" s="10">
        <v>35743</v>
      </c>
      <c r="H168" s="11">
        <f t="shared" ca="1" si="27"/>
        <v>45973</v>
      </c>
      <c r="I168" s="5">
        <f t="shared" ca="1" si="28"/>
        <v>28</v>
      </c>
      <c r="J168" s="5" t="s">
        <v>623</v>
      </c>
      <c r="K168" s="6" t="s">
        <v>592</v>
      </c>
      <c r="L168" s="11" t="s">
        <v>576</v>
      </c>
      <c r="M168" s="6" t="s">
        <v>320</v>
      </c>
    </row>
    <row r="169" spans="2:13" x14ac:dyDescent="0.2">
      <c r="B169" s="8">
        <v>168</v>
      </c>
      <c r="C169" s="6">
        <v>2010</v>
      </c>
      <c r="D169" s="6" t="s">
        <v>94</v>
      </c>
      <c r="E169" s="6" t="s">
        <v>424</v>
      </c>
      <c r="F169" s="20">
        <v>35826</v>
      </c>
      <c r="G169" s="10">
        <v>35826</v>
      </c>
      <c r="H169" s="11">
        <f ca="1">TODAY()</f>
        <v>45973</v>
      </c>
      <c r="I169" s="5">
        <f ca="1">DATEDIF(G169, H169, "Y")</f>
        <v>27</v>
      </c>
      <c r="J169" s="5" t="s">
        <v>623</v>
      </c>
      <c r="K169" s="6" t="s">
        <v>227</v>
      </c>
      <c r="L169" s="11">
        <v>44062</v>
      </c>
      <c r="M169" s="6" t="s">
        <v>350</v>
      </c>
    </row>
    <row r="170" spans="2:13" x14ac:dyDescent="0.2">
      <c r="B170" s="8">
        <v>169</v>
      </c>
      <c r="C170" s="6">
        <v>402</v>
      </c>
      <c r="D170" s="6" t="s">
        <v>57</v>
      </c>
      <c r="E170" s="6" t="s">
        <v>224</v>
      </c>
      <c r="F170" s="20">
        <v>35646</v>
      </c>
      <c r="G170" s="10">
        <v>35646</v>
      </c>
      <c r="H170" s="11">
        <f ca="1">TODAY()</f>
        <v>45973</v>
      </c>
      <c r="I170" s="5">
        <f ca="1">DATEDIF(G170, H170, "Y")</f>
        <v>28</v>
      </c>
      <c r="J170" s="5" t="s">
        <v>624</v>
      </c>
      <c r="K170" s="6" t="s">
        <v>225</v>
      </c>
      <c r="L170" s="11">
        <v>43738</v>
      </c>
      <c r="M170" s="6" t="s">
        <v>350</v>
      </c>
    </row>
    <row r="171" spans="2:13" x14ac:dyDescent="0.2">
      <c r="B171" s="8">
        <v>170</v>
      </c>
      <c r="C171" s="6">
        <v>2238</v>
      </c>
      <c r="D171" s="6" t="s">
        <v>132</v>
      </c>
      <c r="E171" s="6" t="s">
        <v>421</v>
      </c>
      <c r="F171" s="20">
        <v>36192</v>
      </c>
      <c r="G171" s="10">
        <v>36192</v>
      </c>
      <c r="H171" s="11">
        <f ca="1">TODAY()</f>
        <v>45973</v>
      </c>
      <c r="I171" s="5">
        <f t="shared" ref="I171:I184" ca="1" si="29">DATEDIF(G171, H171, "Y")</f>
        <v>26</v>
      </c>
      <c r="J171" s="5" t="s">
        <v>622</v>
      </c>
      <c r="K171" s="6" t="s">
        <v>174</v>
      </c>
      <c r="L171" s="11">
        <v>44727</v>
      </c>
      <c r="M171" s="6" t="s">
        <v>416</v>
      </c>
    </row>
    <row r="172" spans="2:13" x14ac:dyDescent="0.2">
      <c r="B172" s="8">
        <v>171</v>
      </c>
      <c r="C172" s="6">
        <v>481</v>
      </c>
      <c r="D172" s="6" t="s">
        <v>79</v>
      </c>
      <c r="E172" s="6" t="s">
        <v>190</v>
      </c>
      <c r="F172" s="20">
        <v>35972</v>
      </c>
      <c r="G172" s="10">
        <v>35972</v>
      </c>
      <c r="H172" s="11">
        <f ca="1">TODAY()</f>
        <v>45973</v>
      </c>
      <c r="I172" s="5">
        <f t="shared" ca="1" si="29"/>
        <v>27</v>
      </c>
      <c r="J172" s="5" t="s">
        <v>622</v>
      </c>
      <c r="K172" s="6" t="s">
        <v>188</v>
      </c>
      <c r="L172" s="11">
        <v>44482</v>
      </c>
      <c r="M172" s="6" t="s">
        <v>333</v>
      </c>
    </row>
    <row r="173" spans="2:13" x14ac:dyDescent="0.2">
      <c r="B173" s="8">
        <v>172</v>
      </c>
      <c r="C173" s="6">
        <v>531</v>
      </c>
      <c r="D173" s="6" t="s">
        <v>83</v>
      </c>
      <c r="E173" s="6" t="s">
        <v>454</v>
      </c>
      <c r="F173" s="20">
        <v>36610</v>
      </c>
      <c r="G173" s="10">
        <v>36610</v>
      </c>
      <c r="H173" s="11">
        <f ca="1">TODAY()</f>
        <v>45973</v>
      </c>
      <c r="I173" s="5">
        <f t="shared" ca="1" si="29"/>
        <v>25</v>
      </c>
      <c r="J173" s="5" t="s">
        <v>623</v>
      </c>
      <c r="K173" s="6" t="s">
        <v>195</v>
      </c>
      <c r="L173" s="11">
        <v>45617</v>
      </c>
      <c r="M173" s="6" t="s">
        <v>266</v>
      </c>
    </row>
    <row r="174" spans="2:13" x14ac:dyDescent="0.2">
      <c r="B174" s="8">
        <v>173</v>
      </c>
      <c r="C174" s="6">
        <v>2252</v>
      </c>
      <c r="D174" s="6" t="s">
        <v>596</v>
      </c>
      <c r="E174" s="6" t="s">
        <v>598</v>
      </c>
      <c r="F174" s="21" t="s">
        <v>599</v>
      </c>
      <c r="G174" s="10">
        <v>29959</v>
      </c>
      <c r="H174" s="11">
        <v>45887</v>
      </c>
      <c r="I174" s="5">
        <f t="shared" si="29"/>
        <v>43</v>
      </c>
      <c r="J174" s="5" t="s">
        <v>622</v>
      </c>
      <c r="K174" s="6" t="s">
        <v>405</v>
      </c>
      <c r="L174" s="11" t="s">
        <v>597</v>
      </c>
      <c r="M174" s="6" t="s">
        <v>244</v>
      </c>
    </row>
    <row r="175" spans="2:13" x14ac:dyDescent="0.2">
      <c r="B175" s="8">
        <v>174</v>
      </c>
      <c r="C175" s="6">
        <v>2230</v>
      </c>
      <c r="D175" s="6" t="s">
        <v>127</v>
      </c>
      <c r="E175" s="6" t="s">
        <v>193</v>
      </c>
      <c r="F175" s="20">
        <v>36774</v>
      </c>
      <c r="G175" s="10">
        <v>36774</v>
      </c>
      <c r="H175" s="11">
        <f ca="1">TODAY()</f>
        <v>45973</v>
      </c>
      <c r="I175" s="5">
        <f t="shared" ca="1" si="29"/>
        <v>25</v>
      </c>
      <c r="J175" s="5" t="s">
        <v>625</v>
      </c>
      <c r="K175" s="6" t="s">
        <v>383</v>
      </c>
      <c r="L175" s="11">
        <v>44684</v>
      </c>
      <c r="M175" s="6" t="s">
        <v>287</v>
      </c>
    </row>
    <row r="176" spans="2:13" x14ac:dyDescent="0.2">
      <c r="B176" s="8">
        <v>175</v>
      </c>
      <c r="C176" s="6">
        <v>2026</v>
      </c>
      <c r="D176" s="6" t="s">
        <v>103</v>
      </c>
      <c r="E176" s="6" t="s">
        <v>176</v>
      </c>
      <c r="F176" s="20">
        <v>37124</v>
      </c>
      <c r="G176" s="10">
        <v>37124</v>
      </c>
      <c r="H176" s="11">
        <f ca="1">TODAY()</f>
        <v>45973</v>
      </c>
      <c r="I176" s="5">
        <f t="shared" ca="1" si="29"/>
        <v>24</v>
      </c>
      <c r="J176" s="5" t="s">
        <v>622</v>
      </c>
      <c r="K176" s="6" t="s">
        <v>434</v>
      </c>
      <c r="L176" s="11">
        <v>44231</v>
      </c>
      <c r="M176" s="6" t="s">
        <v>320</v>
      </c>
    </row>
    <row r="177" spans="2:13" x14ac:dyDescent="0.2">
      <c r="B177" s="8">
        <v>176</v>
      </c>
      <c r="C177" s="6">
        <v>2224</v>
      </c>
      <c r="D177" s="6" t="s">
        <v>585</v>
      </c>
      <c r="E177" s="6" t="s">
        <v>586</v>
      </c>
      <c r="F177" s="21" t="s">
        <v>587</v>
      </c>
      <c r="G177" s="10">
        <v>37347</v>
      </c>
      <c r="H177" s="11">
        <v>45887</v>
      </c>
      <c r="I177" s="5">
        <f t="shared" si="29"/>
        <v>23</v>
      </c>
      <c r="J177" s="5" t="s">
        <v>622</v>
      </c>
      <c r="K177" s="6" t="s">
        <v>588</v>
      </c>
      <c r="L177" s="11" t="s">
        <v>576</v>
      </c>
      <c r="M177" s="6" t="s">
        <v>689</v>
      </c>
    </row>
    <row r="178" spans="2:13" x14ac:dyDescent="0.2">
      <c r="B178" s="8">
        <v>177</v>
      </c>
      <c r="C178" s="6">
        <v>2234</v>
      </c>
      <c r="D178" s="6" t="s">
        <v>129</v>
      </c>
      <c r="E178" s="6" t="s">
        <v>420</v>
      </c>
      <c r="F178" s="20">
        <v>35940</v>
      </c>
      <c r="G178" s="10">
        <v>35940</v>
      </c>
      <c r="H178" s="11">
        <f t="shared" ref="H178:H184" ca="1" si="30">TODAY()</f>
        <v>45973</v>
      </c>
      <c r="I178" s="5">
        <f t="shared" ca="1" si="29"/>
        <v>27</v>
      </c>
      <c r="J178" s="5" t="s">
        <v>625</v>
      </c>
      <c r="K178" s="6" t="s">
        <v>174</v>
      </c>
      <c r="L178" s="11">
        <v>44699</v>
      </c>
      <c r="M178" s="6" t="s">
        <v>414</v>
      </c>
    </row>
    <row r="179" spans="2:13" x14ac:dyDescent="0.2">
      <c r="B179" s="8">
        <v>178</v>
      </c>
      <c r="C179" s="6">
        <v>14</v>
      </c>
      <c r="D179" s="6" t="s">
        <v>6</v>
      </c>
      <c r="E179" s="6" t="s">
        <v>452</v>
      </c>
      <c r="F179" s="20">
        <v>37503</v>
      </c>
      <c r="G179" s="10">
        <v>37503</v>
      </c>
      <c r="H179" s="11">
        <f t="shared" ca="1" si="30"/>
        <v>45973</v>
      </c>
      <c r="I179" s="5">
        <f t="shared" ca="1" si="29"/>
        <v>23</v>
      </c>
      <c r="J179" s="5" t="s">
        <v>623</v>
      </c>
      <c r="K179" s="6" t="s">
        <v>196</v>
      </c>
      <c r="L179" s="11">
        <v>45603</v>
      </c>
      <c r="M179" s="6" t="s">
        <v>346</v>
      </c>
    </row>
    <row r="180" spans="2:13" x14ac:dyDescent="0.2">
      <c r="B180" s="8">
        <v>179</v>
      </c>
      <c r="C180" s="6">
        <v>22</v>
      </c>
      <c r="D180" s="6" t="s">
        <v>11</v>
      </c>
      <c r="E180" s="6" t="s">
        <v>444</v>
      </c>
      <c r="F180" s="20">
        <v>22422</v>
      </c>
      <c r="G180" s="10">
        <v>22422</v>
      </c>
      <c r="H180" s="11">
        <f t="shared" ca="1" si="30"/>
        <v>45973</v>
      </c>
      <c r="I180" s="5">
        <f t="shared" ca="1" si="29"/>
        <v>64</v>
      </c>
      <c r="J180" s="5" t="s">
        <v>625</v>
      </c>
      <c r="K180" s="6" t="s">
        <v>220</v>
      </c>
      <c r="L180" s="11">
        <v>45537</v>
      </c>
      <c r="M180" s="6" t="s">
        <v>317</v>
      </c>
    </row>
    <row r="181" spans="2:13" x14ac:dyDescent="0.2">
      <c r="B181" s="8">
        <v>180</v>
      </c>
      <c r="C181" s="6">
        <v>66</v>
      </c>
      <c r="D181" s="6" t="s">
        <v>25</v>
      </c>
      <c r="E181" s="6" t="s">
        <v>429</v>
      </c>
      <c r="F181" s="20">
        <v>23935</v>
      </c>
      <c r="G181" s="10">
        <v>23935</v>
      </c>
      <c r="H181" s="11">
        <f t="shared" ca="1" si="30"/>
        <v>45973</v>
      </c>
      <c r="I181" s="5">
        <f t="shared" ca="1" si="29"/>
        <v>60</v>
      </c>
      <c r="J181" s="5" t="s">
        <v>622</v>
      </c>
      <c r="K181" s="6" t="s">
        <v>430</v>
      </c>
      <c r="L181" s="11">
        <v>43766</v>
      </c>
      <c r="M181" s="6" t="s">
        <v>436</v>
      </c>
    </row>
    <row r="182" spans="2:13" x14ac:dyDescent="0.2">
      <c r="B182" s="8">
        <v>181</v>
      </c>
      <c r="C182" s="6">
        <v>2032</v>
      </c>
      <c r="D182" s="6" t="s">
        <v>106</v>
      </c>
      <c r="E182" s="6" t="s">
        <v>187</v>
      </c>
      <c r="F182" s="20">
        <v>25958</v>
      </c>
      <c r="G182" s="10">
        <v>25958</v>
      </c>
      <c r="H182" s="11">
        <f t="shared" ca="1" si="30"/>
        <v>45973</v>
      </c>
      <c r="I182" s="5">
        <f t="shared" ca="1" si="29"/>
        <v>54</v>
      </c>
      <c r="J182" s="5" t="s">
        <v>622</v>
      </c>
      <c r="K182" s="6" t="s">
        <v>183</v>
      </c>
      <c r="L182" s="11">
        <v>42385</v>
      </c>
      <c r="M182" s="6" t="s">
        <v>342</v>
      </c>
    </row>
    <row r="183" spans="2:13" x14ac:dyDescent="0.2">
      <c r="B183" s="8">
        <v>182</v>
      </c>
      <c r="C183" s="6">
        <v>476</v>
      </c>
      <c r="D183" s="6" t="s">
        <v>685</v>
      </c>
      <c r="E183" s="6" t="s">
        <v>686</v>
      </c>
      <c r="F183" s="21" t="s">
        <v>687</v>
      </c>
      <c r="G183" s="10">
        <v>38130</v>
      </c>
      <c r="H183" s="11">
        <f t="shared" ca="1" si="30"/>
        <v>45973</v>
      </c>
      <c r="I183" s="5">
        <f t="shared" ca="1" si="29"/>
        <v>21</v>
      </c>
      <c r="J183" s="5" t="s">
        <v>622</v>
      </c>
      <c r="K183" s="6" t="s">
        <v>183</v>
      </c>
      <c r="L183" s="11" t="s">
        <v>672</v>
      </c>
      <c r="M183" s="6" t="s">
        <v>342</v>
      </c>
    </row>
    <row r="184" spans="2:13" x14ac:dyDescent="0.2">
      <c r="B184" s="8">
        <v>183</v>
      </c>
      <c r="C184" s="6">
        <v>483</v>
      </c>
      <c r="D184" s="6" t="s">
        <v>80</v>
      </c>
      <c r="E184" s="6" t="s">
        <v>425</v>
      </c>
      <c r="F184" s="20">
        <v>28405</v>
      </c>
      <c r="G184" s="10">
        <v>28405</v>
      </c>
      <c r="H184" s="11">
        <f t="shared" ca="1" si="30"/>
        <v>45973</v>
      </c>
      <c r="I184" s="5">
        <f t="shared" ca="1" si="29"/>
        <v>48</v>
      </c>
      <c r="J184" s="5" t="s">
        <v>622</v>
      </c>
      <c r="K184" s="6" t="s">
        <v>231</v>
      </c>
      <c r="L184" s="11">
        <v>44137</v>
      </c>
      <c r="M184" s="6" t="s">
        <v>326</v>
      </c>
    </row>
    <row r="185" spans="2:13" x14ac:dyDescent="0.2">
      <c r="B185" s="8">
        <v>184</v>
      </c>
      <c r="C185" s="6">
        <v>29</v>
      </c>
      <c r="D185" s="6" t="s">
        <v>15</v>
      </c>
      <c r="E185" s="6" t="s">
        <v>426</v>
      </c>
      <c r="F185" s="20">
        <v>24316</v>
      </c>
      <c r="G185" s="10">
        <v>24316</v>
      </c>
      <c r="H185" s="11">
        <f ca="1">TODAY()</f>
        <v>45973</v>
      </c>
      <c r="I185" s="5">
        <f ca="1">DATEDIF(G185, H185, "Y")</f>
        <v>59</v>
      </c>
      <c r="J185" s="5" t="s">
        <v>622</v>
      </c>
      <c r="K185" s="6" t="s">
        <v>227</v>
      </c>
      <c r="L185" s="11">
        <v>40546</v>
      </c>
      <c r="M185" s="6" t="s">
        <v>414</v>
      </c>
    </row>
    <row r="186" spans="2:13" x14ac:dyDescent="0.2">
      <c r="B186" s="8">
        <v>185</v>
      </c>
      <c r="C186" s="6">
        <v>28</v>
      </c>
      <c r="D186" s="6" t="s">
        <v>14</v>
      </c>
      <c r="E186" s="6" t="s">
        <v>455</v>
      </c>
      <c r="F186" s="20">
        <v>31343</v>
      </c>
      <c r="G186" s="10">
        <v>31343</v>
      </c>
      <c r="H186" s="11">
        <f t="shared" ref="H186:H194" ca="1" si="31">TODAY()</f>
        <v>45973</v>
      </c>
      <c r="I186" s="5">
        <f t="shared" ref="I186:I194" ca="1" si="32">DATEDIF(G186, H186, "Y")</f>
        <v>40</v>
      </c>
      <c r="J186" s="5" t="s">
        <v>623</v>
      </c>
      <c r="K186" s="6" t="s">
        <v>255</v>
      </c>
      <c r="L186" s="11">
        <v>45582</v>
      </c>
      <c r="M186" s="6" t="s">
        <v>326</v>
      </c>
    </row>
    <row r="187" spans="2:13" x14ac:dyDescent="0.2">
      <c r="B187" s="8">
        <v>186</v>
      </c>
      <c r="C187" s="6">
        <v>446</v>
      </c>
      <c r="D187" s="6" t="s">
        <v>153</v>
      </c>
      <c r="E187" s="6" t="s">
        <v>437</v>
      </c>
      <c r="F187" s="21" t="s">
        <v>617</v>
      </c>
      <c r="G187" s="10">
        <v>35298</v>
      </c>
      <c r="H187" s="11">
        <f t="shared" ca="1" si="31"/>
        <v>45973</v>
      </c>
      <c r="I187" s="5">
        <f t="shared" ca="1" si="32"/>
        <v>29</v>
      </c>
      <c r="J187" s="5" t="s">
        <v>622</v>
      </c>
      <c r="K187" s="6" t="s">
        <v>225</v>
      </c>
      <c r="L187" s="11">
        <v>45789</v>
      </c>
      <c r="M187" s="6" t="s">
        <v>406</v>
      </c>
    </row>
    <row r="188" spans="2:13" x14ac:dyDescent="0.2">
      <c r="B188" s="8">
        <v>187</v>
      </c>
      <c r="C188" s="6">
        <v>110</v>
      </c>
      <c r="D188" s="6" t="s">
        <v>30</v>
      </c>
      <c r="E188" s="6" t="s">
        <v>443</v>
      </c>
      <c r="F188" s="20">
        <v>35306</v>
      </c>
      <c r="G188" s="10">
        <v>35306</v>
      </c>
      <c r="H188" s="11">
        <f t="shared" ca="1" si="31"/>
        <v>45973</v>
      </c>
      <c r="I188" s="5">
        <f t="shared" ca="1" si="32"/>
        <v>29</v>
      </c>
      <c r="J188" s="5" t="s">
        <v>622</v>
      </c>
      <c r="K188" s="6" t="s">
        <v>197</v>
      </c>
      <c r="L188" s="11">
        <v>44635</v>
      </c>
      <c r="M188" s="6" t="s">
        <v>287</v>
      </c>
    </row>
    <row r="189" spans="2:13" x14ac:dyDescent="0.2">
      <c r="B189" s="8">
        <v>188</v>
      </c>
      <c r="C189" s="6">
        <v>2237</v>
      </c>
      <c r="D189" s="6" t="s">
        <v>131</v>
      </c>
      <c r="E189" s="6" t="s">
        <v>284</v>
      </c>
      <c r="F189" s="20">
        <v>36348</v>
      </c>
      <c r="G189" s="10">
        <v>36348</v>
      </c>
      <c r="H189" s="11">
        <f t="shared" ca="1" si="31"/>
        <v>45973</v>
      </c>
      <c r="I189" s="5">
        <f t="shared" ca="1" si="32"/>
        <v>26</v>
      </c>
      <c r="J189" s="5" t="s">
        <v>623</v>
      </c>
      <c r="K189" s="6" t="s">
        <v>383</v>
      </c>
      <c r="L189" s="11" t="s">
        <v>516</v>
      </c>
      <c r="M189" s="6" t="s">
        <v>326</v>
      </c>
    </row>
    <row r="190" spans="2:13" x14ac:dyDescent="0.2">
      <c r="B190" s="8">
        <v>189</v>
      </c>
      <c r="C190" s="6">
        <v>399</v>
      </c>
      <c r="D190" s="6" t="s">
        <v>56</v>
      </c>
      <c r="E190" s="6" t="s">
        <v>173</v>
      </c>
      <c r="F190" s="20" t="s">
        <v>431</v>
      </c>
      <c r="G190" s="11">
        <v>23675</v>
      </c>
      <c r="H190" s="11">
        <f t="shared" ca="1" si="31"/>
        <v>45973</v>
      </c>
      <c r="I190" s="5">
        <f t="shared" ca="1" si="32"/>
        <v>61</v>
      </c>
      <c r="J190" s="5" t="s">
        <v>622</v>
      </c>
      <c r="K190" s="6" t="s">
        <v>194</v>
      </c>
      <c r="L190" s="11" t="s">
        <v>469</v>
      </c>
      <c r="M190" s="6" t="s">
        <v>310</v>
      </c>
    </row>
    <row r="191" spans="2:13" x14ac:dyDescent="0.2">
      <c r="B191" s="8">
        <v>190</v>
      </c>
      <c r="C191" s="6">
        <v>419</v>
      </c>
      <c r="D191" s="6" t="s">
        <v>65</v>
      </c>
      <c r="E191" s="6" t="s">
        <v>628</v>
      </c>
      <c r="F191" s="20">
        <v>33289</v>
      </c>
      <c r="G191" s="10">
        <v>33289</v>
      </c>
      <c r="H191" s="11">
        <f t="shared" ca="1" si="31"/>
        <v>45973</v>
      </c>
      <c r="I191" s="5">
        <f t="shared" ca="1" si="32"/>
        <v>34</v>
      </c>
      <c r="J191" s="5" t="s">
        <v>623</v>
      </c>
      <c r="K191" s="6" t="s">
        <v>422</v>
      </c>
      <c r="L191" s="11">
        <v>43748</v>
      </c>
      <c r="M191" s="6" t="s">
        <v>361</v>
      </c>
    </row>
    <row r="192" spans="2:13" x14ac:dyDescent="0.2">
      <c r="B192" s="8">
        <v>191</v>
      </c>
      <c r="C192" s="6">
        <v>2247</v>
      </c>
      <c r="D192" s="6" t="s">
        <v>669</v>
      </c>
      <c r="E192" s="6" t="s">
        <v>670</v>
      </c>
      <c r="F192" s="20">
        <v>36676</v>
      </c>
      <c r="G192" s="10">
        <v>36676</v>
      </c>
      <c r="H192" s="11">
        <f t="shared" ca="1" si="31"/>
        <v>45973</v>
      </c>
      <c r="I192" s="5">
        <f t="shared" ca="1" si="32"/>
        <v>25</v>
      </c>
      <c r="J192" s="5" t="s">
        <v>622</v>
      </c>
      <c r="K192" s="6" t="s">
        <v>671</v>
      </c>
      <c r="L192" s="11" t="s">
        <v>672</v>
      </c>
      <c r="M192" s="6" t="s">
        <v>361</v>
      </c>
    </row>
    <row r="193" spans="2:13" x14ac:dyDescent="0.2">
      <c r="B193" s="8">
        <v>192</v>
      </c>
      <c r="C193" s="6">
        <v>2204</v>
      </c>
      <c r="D193" s="6" t="s">
        <v>114</v>
      </c>
      <c r="E193" s="6" t="s">
        <v>439</v>
      </c>
      <c r="F193" s="20">
        <v>25693</v>
      </c>
      <c r="G193" s="10">
        <v>25693</v>
      </c>
      <c r="H193" s="11">
        <f t="shared" ca="1" si="31"/>
        <v>45973</v>
      </c>
      <c r="I193" s="5">
        <f t="shared" ca="1" si="32"/>
        <v>55</v>
      </c>
      <c r="J193" s="5" t="s">
        <v>622</v>
      </c>
      <c r="K193" s="6" t="s">
        <v>440</v>
      </c>
      <c r="L193" s="11">
        <v>45489</v>
      </c>
      <c r="M193" s="6" t="s">
        <v>441</v>
      </c>
    </row>
    <row r="194" spans="2:13" x14ac:dyDescent="0.2">
      <c r="B194" s="8">
        <v>193</v>
      </c>
      <c r="C194" s="6">
        <v>7</v>
      </c>
      <c r="D194" s="6" t="s">
        <v>3</v>
      </c>
      <c r="E194" s="6" t="s">
        <v>438</v>
      </c>
      <c r="F194" s="20">
        <v>27552</v>
      </c>
      <c r="G194" s="10">
        <v>27552</v>
      </c>
      <c r="H194" s="11">
        <f t="shared" ca="1" si="31"/>
        <v>45973</v>
      </c>
      <c r="I194" s="5">
        <f t="shared" ca="1" si="32"/>
        <v>50</v>
      </c>
      <c r="J194" s="5" t="s">
        <v>626</v>
      </c>
      <c r="K194" s="6" t="s">
        <v>198</v>
      </c>
      <c r="L194" s="11">
        <v>44137</v>
      </c>
      <c r="M194" s="6" t="s">
        <v>199</v>
      </c>
    </row>
    <row r="195" spans="2:13" x14ac:dyDescent="0.2">
      <c r="B195" s="8">
        <v>194</v>
      </c>
      <c r="C195" s="6">
        <v>140</v>
      </c>
      <c r="D195" s="6" t="s">
        <v>676</v>
      </c>
      <c r="E195" s="6" t="s">
        <v>682</v>
      </c>
      <c r="F195" s="20" t="s">
        <v>675</v>
      </c>
      <c r="G195" s="10">
        <v>23969</v>
      </c>
      <c r="H195" s="11">
        <f ca="1">TODAY()</f>
        <v>45973</v>
      </c>
      <c r="I195" s="5">
        <f ca="1">DATEDIF(G195, H195, "Y")</f>
        <v>60</v>
      </c>
      <c r="J195" s="5" t="s">
        <v>622</v>
      </c>
      <c r="K195" s="6" t="s">
        <v>161</v>
      </c>
      <c r="L195" s="11" t="s">
        <v>672</v>
      </c>
      <c r="M195" s="6" t="s">
        <v>333</v>
      </c>
    </row>
    <row r="196" spans="2:13" x14ac:dyDescent="0.2">
      <c r="B196" s="8">
        <v>195</v>
      </c>
      <c r="C196" s="6">
        <v>2229</v>
      </c>
      <c r="D196" s="6" t="s">
        <v>673</v>
      </c>
      <c r="E196" s="6" t="s">
        <v>666</v>
      </c>
      <c r="F196" s="20" t="s">
        <v>674</v>
      </c>
      <c r="G196" s="10">
        <v>33581</v>
      </c>
      <c r="H196" s="11">
        <f ca="1">TODAY()</f>
        <v>45973</v>
      </c>
      <c r="I196" s="5">
        <f ca="1">DATEDIF(G196, H196, "Y")</f>
        <v>33</v>
      </c>
      <c r="J196" s="5" t="s">
        <v>623</v>
      </c>
      <c r="K196" s="6" t="s">
        <v>671</v>
      </c>
      <c r="L196" s="11" t="s">
        <v>672</v>
      </c>
      <c r="M196" s="6" t="s">
        <v>361</v>
      </c>
    </row>
    <row r="197" spans="2:13" x14ac:dyDescent="0.2">
      <c r="C197" s="18"/>
    </row>
    <row r="199" spans="2:13" x14ac:dyDescent="0.2">
      <c r="C199" s="4"/>
    </row>
    <row r="200" spans="2:13" x14ac:dyDescent="0.2">
      <c r="C200" s="4"/>
    </row>
    <row r="201" spans="2:13" x14ac:dyDescent="0.2">
      <c r="C201" s="4"/>
    </row>
    <row r="202" spans="2:13" x14ac:dyDescent="0.2">
      <c r="C202" s="4"/>
    </row>
    <row r="203" spans="2:13" x14ac:dyDescent="0.2">
      <c r="C203" s="4"/>
    </row>
  </sheetData>
  <autoFilter ref="B1:M196" xr:uid="{00000000-0009-0000-0000-000000000000}">
    <sortState xmlns:xlrd2="http://schemas.microsoft.com/office/spreadsheetml/2017/richdata2" ref="B2:M196">
      <sortCondition ref="C2:C196"/>
    </sortState>
  </autoFilter>
  <sortState xmlns:xlrd2="http://schemas.microsoft.com/office/spreadsheetml/2017/richdata2" ref="B2:M196">
    <sortCondition ref="B2:B196"/>
  </sortState>
  <pageMargins left="0.7" right="0.7" top="0.75" bottom="0.75" header="0.3" footer="0.3"/>
  <pageSetup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Actualizado 07.11.2025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Bachkiria Tuñon</dc:creator>
  <cp:lastModifiedBy>Ana Lisa Vaccaro</cp:lastModifiedBy>
  <cp:lastPrinted>2025-09-03T20:47:56Z</cp:lastPrinted>
  <dcterms:created xsi:type="dcterms:W3CDTF">2025-03-11T16:26:06Z</dcterms:created>
  <dcterms:modified xsi:type="dcterms:W3CDTF">2025-11-12T19:34:49Z</dcterms:modified>
</cp:coreProperties>
</file>